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87206814054704/Documents/"/>
    </mc:Choice>
  </mc:AlternateContent>
  <xr:revisionPtr revIDLastSave="0" documentId="8_{E642BD04-3B1A-4947-957C-DE427DFF52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ardik_Stats" sheetId="1" r:id="rId1"/>
    <sheet name="Hardik_inf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1" l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97" i="1"/>
  <c r="A98" i="1"/>
  <c r="A99" i="1"/>
  <c r="A100" i="1"/>
  <c r="A101" i="1"/>
  <c r="A102" i="1"/>
  <c r="A103" i="1"/>
  <c r="A104" i="1"/>
  <c r="A105" i="1"/>
  <c r="A106" i="1"/>
  <c r="A96" i="1"/>
</calcChain>
</file>

<file path=xl/sharedStrings.xml><?xml version="1.0" encoding="utf-8"?>
<sst xmlns="http://schemas.openxmlformats.org/spreadsheetml/2006/main" count="3236" uniqueCount="106">
  <si>
    <t>Match_No</t>
  </si>
  <si>
    <t>Format</t>
  </si>
  <si>
    <t>Inning_No</t>
  </si>
  <si>
    <t>Batting_Position</t>
  </si>
  <si>
    <t>Runs_Scored</t>
  </si>
  <si>
    <t>Balls_Faced</t>
  </si>
  <si>
    <t>Strike_Rate</t>
  </si>
  <si>
    <t>Opposition</t>
  </si>
  <si>
    <t>Venue</t>
  </si>
  <si>
    <t>Host_Nation</t>
  </si>
  <si>
    <t>Series_Tournament</t>
  </si>
  <si>
    <t>Year</t>
  </si>
  <si>
    <t>Team_Total</t>
  </si>
  <si>
    <t>Wickets_Lost</t>
  </si>
  <si>
    <t>Not_Out_Status</t>
  </si>
  <si>
    <t>MOTM_Award</t>
  </si>
  <si>
    <t>Match_Result</t>
  </si>
  <si>
    <t>Captaincy_Status</t>
  </si>
  <si>
    <t>Fours</t>
  </si>
  <si>
    <t>Sixes</t>
  </si>
  <si>
    <t>ODI</t>
  </si>
  <si>
    <t>Ireland</t>
  </si>
  <si>
    <t>Afghanistan</t>
  </si>
  <si>
    <t>Sri Lanka</t>
  </si>
  <si>
    <t>Pakistan</t>
  </si>
  <si>
    <t>Nepal</t>
  </si>
  <si>
    <t>England</t>
  </si>
  <si>
    <t>South Africa</t>
  </si>
  <si>
    <t>Scotland</t>
  </si>
  <si>
    <t>Australia</t>
  </si>
  <si>
    <t>New Zealand</t>
  </si>
  <si>
    <t>West Indies</t>
  </si>
  <si>
    <t>Bangladesh</t>
  </si>
  <si>
    <t>Zimbabwe</t>
  </si>
  <si>
    <t>Netherlands</t>
  </si>
  <si>
    <t>Arun Jaitley Stadium, Delhi</t>
  </si>
  <si>
    <t>M. A. Chidambaram Stadium, Chennai</t>
  </si>
  <si>
    <t>Green Park, Kanpur</t>
  </si>
  <si>
    <t>Rajiv Gandhi Intl. Stadium, Hyderabad</t>
  </si>
  <si>
    <t>M. Chinnaswamy Stadium, Bengaluru</t>
  </si>
  <si>
    <t>HPCA Stadium, Dharamsala</t>
  </si>
  <si>
    <t>Ekana Stadium, Lucknow</t>
  </si>
  <si>
    <t>Eden Gardens, Kolkata</t>
  </si>
  <si>
    <t>Narendra Modi Stadium, Ahmedabad</t>
  </si>
  <si>
    <t>Wankhede Stadium, Mumbai</t>
  </si>
  <si>
    <t>India</t>
  </si>
  <si>
    <t>Champions Trophy</t>
  </si>
  <si>
    <t>Bilateral Series</t>
  </si>
  <si>
    <t>Asia Cup</t>
  </si>
  <si>
    <t>World Cup</t>
  </si>
  <si>
    <t>Yes</t>
  </si>
  <si>
    <t>No</t>
  </si>
  <si>
    <t>Tie</t>
  </si>
  <si>
    <t>No Result</t>
  </si>
  <si>
    <t>Win</t>
  </si>
  <si>
    <t>Loss</t>
  </si>
  <si>
    <t>Test</t>
  </si>
  <si>
    <t>Pataudi Trophy</t>
  </si>
  <si>
    <t>Draw</t>
  </si>
  <si>
    <t>Border-Gavaskar Trophy</t>
  </si>
  <si>
    <t>Freedom Trophy</t>
  </si>
  <si>
    <t>Other Test Series</t>
  </si>
  <si>
    <t>T20I</t>
  </si>
  <si>
    <t>Johannesburg</t>
  </si>
  <si>
    <t>London</t>
  </si>
  <si>
    <t>Tri-Series</t>
  </si>
  <si>
    <t>Auckland</t>
  </si>
  <si>
    <t>Dubai</t>
  </si>
  <si>
    <t>Kolkata</t>
  </si>
  <si>
    <t>Mumbai</t>
  </si>
  <si>
    <t>Delhi</t>
  </si>
  <si>
    <t>UAE</t>
  </si>
  <si>
    <t>Sydney</t>
  </si>
  <si>
    <t>Chennai</t>
  </si>
  <si>
    <t>IPL</t>
  </si>
  <si>
    <t>SRH</t>
  </si>
  <si>
    <t>Wankhede</t>
  </si>
  <si>
    <t>DC</t>
  </si>
  <si>
    <t>Arun Jaitley</t>
  </si>
  <si>
    <t>RR</t>
  </si>
  <si>
    <t>Chinnaswamy</t>
  </si>
  <si>
    <t>CSK</t>
  </si>
  <si>
    <t>GT</t>
  </si>
  <si>
    <t>MI</t>
  </si>
  <si>
    <t>DY Patil</t>
  </si>
  <si>
    <t>RCB</t>
  </si>
  <si>
    <t>Chepauk</t>
  </si>
  <si>
    <t>PBKS</t>
  </si>
  <si>
    <t>LSG</t>
  </si>
  <si>
    <t>MCA Stadium</t>
  </si>
  <si>
    <t>M. Chinnaswamy</t>
  </si>
  <si>
    <t>Eden Gardens</t>
  </si>
  <si>
    <t>KKR</t>
  </si>
  <si>
    <t>Narendra Modi Stadium</t>
  </si>
  <si>
    <t>Born</t>
  </si>
  <si>
    <t>Age</t>
  </si>
  <si>
    <t>Playing Role</t>
  </si>
  <si>
    <t>Batting Style</t>
  </si>
  <si>
    <t>Bowling Style</t>
  </si>
  <si>
    <t>Hardik Himanshu Pandya</t>
  </si>
  <si>
    <t>Full Name</t>
  </si>
  <si>
    <t>October 11, 1993, Surat, Gujarat</t>
  </si>
  <si>
    <t>31y 339d</t>
  </si>
  <si>
    <t>Right Hand Batter</t>
  </si>
  <si>
    <t>All rounder</t>
  </si>
  <si>
    <t>Right Arm Bowler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</si>
</sst>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D3A7C-3DEE-4911-840A-6A07D5CAF099}" name="Hardik_33" displayName="Hardik_33" ref="A1:F2" totalsRowShown="0" dataDxfId="6">
  <autoFilter ref="A1:F2" xr:uid="{06BD3A7C-3DEE-4911-840A-6A07D5CAF099}"/>
  <tableColumns count="6">
    <tableColumn id="1" xr3:uid="{F1BDDEB0-5BA0-43A7-9AC8-E9142C1D4900}" name="Full Name" dataDxfId="5"/>
    <tableColumn id="2" xr3:uid="{DA1E56D3-6766-428E-BA5F-03DC060FA894}" name="Born" dataDxfId="4"/>
    <tableColumn id="3" xr3:uid="{30138673-C5E7-48B4-90F8-21B86422E3E8}" name="Age" dataDxfId="3"/>
    <tableColumn id="4" xr3:uid="{1FDA3410-E7F0-476A-88EC-0C04561620AB}" name="Playing Role" dataDxfId="2"/>
    <tableColumn id="5" xr3:uid="{53F12028-8F1D-4775-B8DA-B48A0FDA30E8}" name="Batting Style" dataDxfId="1"/>
    <tableColumn id="6" xr3:uid="{50DA3B13-06F9-479A-9F26-214A00508D8D}" name="Bowling Styl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7"/>
  <sheetViews>
    <sheetView tabSelected="1" topLeftCell="P1" workbookViewId="0">
      <selection activeCell="E360" sqref="E360"/>
    </sheetView>
  </sheetViews>
  <sheetFormatPr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</v>
      </c>
      <c r="B2" t="s">
        <v>20</v>
      </c>
      <c r="C2">
        <v>1</v>
      </c>
      <c r="D2">
        <v>7</v>
      </c>
      <c r="E2">
        <v>33</v>
      </c>
      <c r="F2">
        <v>57</v>
      </c>
      <c r="G2">
        <v>77.84</v>
      </c>
      <c r="H2" t="s">
        <v>21</v>
      </c>
      <c r="I2" t="s">
        <v>35</v>
      </c>
      <c r="J2" t="s">
        <v>45</v>
      </c>
      <c r="K2" t="s">
        <v>46</v>
      </c>
      <c r="L2">
        <v>2016</v>
      </c>
      <c r="M2">
        <v>289</v>
      </c>
      <c r="N2">
        <v>5</v>
      </c>
      <c r="O2" t="s">
        <v>50</v>
      </c>
      <c r="P2" t="s">
        <v>50</v>
      </c>
      <c r="Q2" t="s">
        <v>52</v>
      </c>
      <c r="R2" t="s">
        <v>50</v>
      </c>
      <c r="S2">
        <v>2</v>
      </c>
      <c r="T2">
        <v>1</v>
      </c>
    </row>
    <row r="3" spans="1:20" x14ac:dyDescent="0.2">
      <c r="A3">
        <v>2</v>
      </c>
      <c r="B3" t="s">
        <v>20</v>
      </c>
      <c r="C3">
        <v>2</v>
      </c>
      <c r="D3">
        <v>7</v>
      </c>
      <c r="E3">
        <v>31</v>
      </c>
      <c r="F3">
        <v>79</v>
      </c>
      <c r="G3">
        <v>60.29</v>
      </c>
      <c r="H3" t="s">
        <v>22</v>
      </c>
      <c r="I3" t="s">
        <v>36</v>
      </c>
      <c r="J3" t="s">
        <v>45</v>
      </c>
      <c r="K3" t="s">
        <v>47</v>
      </c>
      <c r="L3">
        <v>2017</v>
      </c>
      <c r="M3">
        <v>270</v>
      </c>
      <c r="N3">
        <v>6</v>
      </c>
      <c r="O3" t="s">
        <v>51</v>
      </c>
      <c r="P3" t="s">
        <v>51</v>
      </c>
      <c r="Q3" t="s">
        <v>53</v>
      </c>
      <c r="R3" t="s">
        <v>51</v>
      </c>
      <c r="S3">
        <v>11</v>
      </c>
      <c r="T3">
        <v>1</v>
      </c>
    </row>
    <row r="4" spans="1:20" x14ac:dyDescent="0.2">
      <c r="A4">
        <v>3</v>
      </c>
      <c r="B4" t="s">
        <v>20</v>
      </c>
      <c r="C4">
        <v>1</v>
      </c>
      <c r="D4">
        <v>7</v>
      </c>
      <c r="E4">
        <v>34</v>
      </c>
      <c r="F4">
        <v>9</v>
      </c>
      <c r="G4">
        <v>124.1</v>
      </c>
      <c r="H4" t="s">
        <v>23</v>
      </c>
      <c r="I4" t="s">
        <v>37</v>
      </c>
      <c r="J4" t="s">
        <v>45</v>
      </c>
      <c r="K4" t="s">
        <v>48</v>
      </c>
      <c r="L4">
        <v>2018</v>
      </c>
      <c r="M4">
        <v>198</v>
      </c>
      <c r="N4">
        <v>8</v>
      </c>
      <c r="O4" t="s">
        <v>51</v>
      </c>
      <c r="P4" t="s">
        <v>51</v>
      </c>
      <c r="Q4" t="s">
        <v>54</v>
      </c>
      <c r="R4" t="s">
        <v>51</v>
      </c>
      <c r="S4">
        <v>6</v>
      </c>
      <c r="T4">
        <v>5</v>
      </c>
    </row>
    <row r="5" spans="1:20" x14ac:dyDescent="0.2">
      <c r="A5">
        <v>4</v>
      </c>
      <c r="B5" t="s">
        <v>20</v>
      </c>
      <c r="C5">
        <v>2</v>
      </c>
      <c r="D5">
        <v>7</v>
      </c>
      <c r="E5">
        <v>90</v>
      </c>
      <c r="F5">
        <v>97</v>
      </c>
      <c r="G5">
        <v>79.53</v>
      </c>
      <c r="H5" t="s">
        <v>24</v>
      </c>
      <c r="I5" t="s">
        <v>38</v>
      </c>
      <c r="J5" t="s">
        <v>45</v>
      </c>
      <c r="K5" t="s">
        <v>47</v>
      </c>
      <c r="L5">
        <v>2019</v>
      </c>
      <c r="M5">
        <v>226</v>
      </c>
      <c r="N5">
        <v>5</v>
      </c>
      <c r="O5" t="s">
        <v>51</v>
      </c>
      <c r="P5" t="s">
        <v>51</v>
      </c>
      <c r="Q5" t="s">
        <v>55</v>
      </c>
      <c r="R5" t="s">
        <v>51</v>
      </c>
      <c r="S5">
        <v>1</v>
      </c>
      <c r="T5">
        <v>1</v>
      </c>
    </row>
    <row r="6" spans="1:20" x14ac:dyDescent="0.2">
      <c r="A6">
        <v>5</v>
      </c>
      <c r="B6" t="s">
        <v>20</v>
      </c>
      <c r="C6">
        <v>1</v>
      </c>
      <c r="D6">
        <v>7</v>
      </c>
      <c r="E6">
        <v>72</v>
      </c>
      <c r="F6">
        <v>65</v>
      </c>
      <c r="G6">
        <v>72.97</v>
      </c>
      <c r="H6" t="s">
        <v>25</v>
      </c>
      <c r="I6" t="s">
        <v>39</v>
      </c>
      <c r="J6" t="s">
        <v>45</v>
      </c>
      <c r="K6" t="s">
        <v>48</v>
      </c>
      <c r="L6">
        <v>2020</v>
      </c>
      <c r="M6">
        <v>394</v>
      </c>
      <c r="N6">
        <v>8</v>
      </c>
      <c r="O6" t="s">
        <v>50</v>
      </c>
      <c r="P6" t="s">
        <v>51</v>
      </c>
      <c r="Q6" t="s">
        <v>55</v>
      </c>
      <c r="R6" t="s">
        <v>51</v>
      </c>
      <c r="S6">
        <v>10</v>
      </c>
      <c r="T6">
        <v>5</v>
      </c>
    </row>
    <row r="7" spans="1:20" x14ac:dyDescent="0.2">
      <c r="A7">
        <v>6</v>
      </c>
      <c r="B7" t="s">
        <v>20</v>
      </c>
      <c r="C7">
        <v>2</v>
      </c>
      <c r="D7">
        <v>6</v>
      </c>
      <c r="E7">
        <v>14</v>
      </c>
      <c r="F7">
        <v>31</v>
      </c>
      <c r="G7">
        <v>128.61000000000001</v>
      </c>
      <c r="H7" t="s">
        <v>21</v>
      </c>
      <c r="I7" t="s">
        <v>38</v>
      </c>
      <c r="J7" t="s">
        <v>45</v>
      </c>
      <c r="K7" t="s">
        <v>49</v>
      </c>
      <c r="L7">
        <v>2021</v>
      </c>
      <c r="M7">
        <v>225</v>
      </c>
      <c r="N7">
        <v>2</v>
      </c>
      <c r="O7" t="s">
        <v>51</v>
      </c>
      <c r="P7" t="s">
        <v>51</v>
      </c>
      <c r="Q7" t="s">
        <v>53</v>
      </c>
      <c r="R7" t="s">
        <v>51</v>
      </c>
      <c r="S7">
        <v>4</v>
      </c>
      <c r="T7">
        <v>2</v>
      </c>
    </row>
    <row r="8" spans="1:20" x14ac:dyDescent="0.2">
      <c r="A8">
        <v>7</v>
      </c>
      <c r="B8" t="s">
        <v>20</v>
      </c>
      <c r="C8">
        <v>1</v>
      </c>
      <c r="D8">
        <v>6</v>
      </c>
      <c r="E8">
        <v>5</v>
      </c>
      <c r="F8">
        <v>80</v>
      </c>
      <c r="G8">
        <v>64.150000000000006</v>
      </c>
      <c r="H8" t="s">
        <v>26</v>
      </c>
      <c r="I8" t="s">
        <v>35</v>
      </c>
      <c r="J8" t="s">
        <v>45</v>
      </c>
      <c r="K8" t="s">
        <v>49</v>
      </c>
      <c r="L8">
        <v>2022</v>
      </c>
      <c r="M8">
        <v>247</v>
      </c>
      <c r="N8">
        <v>2</v>
      </c>
      <c r="O8" t="s">
        <v>51</v>
      </c>
      <c r="P8" t="s">
        <v>51</v>
      </c>
      <c r="Q8" t="s">
        <v>53</v>
      </c>
      <c r="R8" t="s">
        <v>51</v>
      </c>
      <c r="S8">
        <v>4</v>
      </c>
      <c r="T8">
        <v>5</v>
      </c>
    </row>
    <row r="9" spans="1:20" x14ac:dyDescent="0.2">
      <c r="A9">
        <v>8</v>
      </c>
      <c r="B9" t="s">
        <v>20</v>
      </c>
      <c r="C9">
        <v>2</v>
      </c>
      <c r="D9">
        <v>6</v>
      </c>
      <c r="E9">
        <v>28</v>
      </c>
      <c r="F9">
        <v>43</v>
      </c>
      <c r="G9">
        <v>106.21</v>
      </c>
      <c r="H9" t="s">
        <v>27</v>
      </c>
      <c r="I9" t="s">
        <v>40</v>
      </c>
      <c r="J9" t="s">
        <v>45</v>
      </c>
      <c r="K9" t="s">
        <v>48</v>
      </c>
      <c r="L9">
        <v>2023</v>
      </c>
      <c r="M9">
        <v>290</v>
      </c>
      <c r="N9">
        <v>5</v>
      </c>
      <c r="O9" t="s">
        <v>51</v>
      </c>
      <c r="P9" t="s">
        <v>51</v>
      </c>
      <c r="Q9" t="s">
        <v>55</v>
      </c>
      <c r="R9" t="s">
        <v>51</v>
      </c>
      <c r="S9">
        <v>12</v>
      </c>
      <c r="T9">
        <v>6</v>
      </c>
    </row>
    <row r="10" spans="1:20" x14ac:dyDescent="0.2">
      <c r="A10">
        <v>9</v>
      </c>
      <c r="B10" t="s">
        <v>20</v>
      </c>
      <c r="C10">
        <v>1</v>
      </c>
      <c r="D10">
        <v>7</v>
      </c>
      <c r="E10">
        <v>99</v>
      </c>
      <c r="F10">
        <v>62</v>
      </c>
      <c r="G10">
        <v>97.93</v>
      </c>
      <c r="H10" t="s">
        <v>23</v>
      </c>
      <c r="I10" t="s">
        <v>38</v>
      </c>
      <c r="J10" t="s">
        <v>45</v>
      </c>
      <c r="K10" t="s">
        <v>49</v>
      </c>
      <c r="L10">
        <v>2024</v>
      </c>
      <c r="M10">
        <v>218</v>
      </c>
      <c r="N10">
        <v>5</v>
      </c>
      <c r="O10" t="s">
        <v>50</v>
      </c>
      <c r="P10" t="s">
        <v>51</v>
      </c>
      <c r="Q10" t="s">
        <v>54</v>
      </c>
      <c r="R10" t="s">
        <v>51</v>
      </c>
      <c r="S10">
        <v>12</v>
      </c>
      <c r="T10">
        <v>3</v>
      </c>
    </row>
    <row r="11" spans="1:20" x14ac:dyDescent="0.2">
      <c r="A11">
        <v>10</v>
      </c>
      <c r="B11" t="s">
        <v>20</v>
      </c>
      <c r="C11">
        <v>2</v>
      </c>
      <c r="D11">
        <v>7</v>
      </c>
      <c r="E11">
        <v>59</v>
      </c>
      <c r="F11">
        <v>48</v>
      </c>
      <c r="G11">
        <v>119.51</v>
      </c>
      <c r="H11" t="s">
        <v>28</v>
      </c>
      <c r="I11" t="s">
        <v>41</v>
      </c>
      <c r="J11" t="s">
        <v>45</v>
      </c>
      <c r="K11" t="s">
        <v>46</v>
      </c>
      <c r="L11">
        <v>2016</v>
      </c>
      <c r="M11">
        <v>275</v>
      </c>
      <c r="N11">
        <v>3</v>
      </c>
      <c r="O11" t="s">
        <v>51</v>
      </c>
      <c r="P11" t="s">
        <v>51</v>
      </c>
      <c r="Q11" t="s">
        <v>54</v>
      </c>
      <c r="R11" t="s">
        <v>51</v>
      </c>
      <c r="S11">
        <v>6</v>
      </c>
      <c r="T11">
        <v>5</v>
      </c>
    </row>
    <row r="12" spans="1:20" x14ac:dyDescent="0.2">
      <c r="A12">
        <v>11</v>
      </c>
      <c r="B12" t="s">
        <v>20</v>
      </c>
      <c r="C12">
        <v>1</v>
      </c>
      <c r="D12">
        <v>7</v>
      </c>
      <c r="E12">
        <v>77</v>
      </c>
      <c r="F12">
        <v>7</v>
      </c>
      <c r="G12">
        <v>92.79</v>
      </c>
      <c r="H12" t="s">
        <v>25</v>
      </c>
      <c r="I12" t="s">
        <v>42</v>
      </c>
      <c r="J12" t="s">
        <v>45</v>
      </c>
      <c r="K12" t="s">
        <v>48</v>
      </c>
      <c r="L12">
        <v>2017</v>
      </c>
      <c r="M12">
        <v>191</v>
      </c>
      <c r="N12">
        <v>5</v>
      </c>
      <c r="O12" t="s">
        <v>51</v>
      </c>
      <c r="P12" t="s">
        <v>51</v>
      </c>
      <c r="Q12" t="s">
        <v>54</v>
      </c>
      <c r="R12" t="s">
        <v>51</v>
      </c>
      <c r="S12">
        <v>10</v>
      </c>
      <c r="T12">
        <v>1</v>
      </c>
    </row>
    <row r="13" spans="1:20" x14ac:dyDescent="0.2">
      <c r="A13">
        <v>12</v>
      </c>
      <c r="B13" t="s">
        <v>20</v>
      </c>
      <c r="C13">
        <v>2</v>
      </c>
      <c r="D13">
        <v>6</v>
      </c>
      <c r="E13">
        <v>36</v>
      </c>
      <c r="F13">
        <v>81</v>
      </c>
      <c r="G13">
        <v>65.09</v>
      </c>
      <c r="H13" t="s">
        <v>29</v>
      </c>
      <c r="I13" t="s">
        <v>38</v>
      </c>
      <c r="J13" t="s">
        <v>45</v>
      </c>
      <c r="K13" t="s">
        <v>46</v>
      </c>
      <c r="L13">
        <v>2018</v>
      </c>
      <c r="M13">
        <v>322</v>
      </c>
      <c r="N13">
        <v>4</v>
      </c>
      <c r="O13" t="s">
        <v>51</v>
      </c>
      <c r="P13" t="s">
        <v>51</v>
      </c>
      <c r="Q13" t="s">
        <v>53</v>
      </c>
      <c r="R13" t="s">
        <v>51</v>
      </c>
      <c r="S13">
        <v>8</v>
      </c>
      <c r="T13">
        <v>0</v>
      </c>
    </row>
    <row r="14" spans="1:20" x14ac:dyDescent="0.2">
      <c r="A14">
        <v>13</v>
      </c>
      <c r="B14" t="s">
        <v>20</v>
      </c>
      <c r="C14">
        <v>1</v>
      </c>
      <c r="D14">
        <v>5</v>
      </c>
      <c r="E14">
        <v>81</v>
      </c>
      <c r="F14">
        <v>32</v>
      </c>
      <c r="G14">
        <v>142.84</v>
      </c>
      <c r="H14" t="s">
        <v>30</v>
      </c>
      <c r="I14" t="s">
        <v>40</v>
      </c>
      <c r="J14" t="s">
        <v>45</v>
      </c>
      <c r="K14" t="s">
        <v>48</v>
      </c>
      <c r="L14">
        <v>2019</v>
      </c>
      <c r="M14">
        <v>261</v>
      </c>
      <c r="N14">
        <v>3</v>
      </c>
      <c r="O14" t="s">
        <v>50</v>
      </c>
      <c r="P14" t="s">
        <v>50</v>
      </c>
      <c r="Q14" t="s">
        <v>52</v>
      </c>
      <c r="R14" t="s">
        <v>51</v>
      </c>
      <c r="S14">
        <v>7</v>
      </c>
      <c r="T14">
        <v>1</v>
      </c>
    </row>
    <row r="15" spans="1:20" x14ac:dyDescent="0.2">
      <c r="A15">
        <v>14</v>
      </c>
      <c r="B15" t="s">
        <v>20</v>
      </c>
      <c r="C15">
        <v>2</v>
      </c>
      <c r="D15">
        <v>7</v>
      </c>
      <c r="E15">
        <v>16</v>
      </c>
      <c r="F15">
        <v>44</v>
      </c>
      <c r="G15">
        <v>67.42</v>
      </c>
      <c r="H15" t="s">
        <v>31</v>
      </c>
      <c r="I15" t="s">
        <v>39</v>
      </c>
      <c r="J15" t="s">
        <v>45</v>
      </c>
      <c r="K15" t="s">
        <v>47</v>
      </c>
      <c r="L15">
        <v>2020</v>
      </c>
      <c r="M15">
        <v>287</v>
      </c>
      <c r="N15">
        <v>10</v>
      </c>
      <c r="O15" t="s">
        <v>51</v>
      </c>
      <c r="P15" t="s">
        <v>51</v>
      </c>
      <c r="Q15" t="s">
        <v>55</v>
      </c>
      <c r="R15" t="s">
        <v>51</v>
      </c>
      <c r="S15">
        <v>1</v>
      </c>
      <c r="T15">
        <v>3</v>
      </c>
    </row>
    <row r="16" spans="1:20" x14ac:dyDescent="0.2">
      <c r="A16">
        <v>15</v>
      </c>
      <c r="B16" t="s">
        <v>20</v>
      </c>
      <c r="C16">
        <v>1</v>
      </c>
      <c r="D16">
        <v>7</v>
      </c>
      <c r="E16">
        <v>93</v>
      </c>
      <c r="F16">
        <v>69</v>
      </c>
      <c r="G16">
        <v>137.05000000000001</v>
      </c>
      <c r="H16" t="s">
        <v>26</v>
      </c>
      <c r="I16" t="s">
        <v>38</v>
      </c>
      <c r="J16" t="s">
        <v>45</v>
      </c>
      <c r="K16" t="s">
        <v>46</v>
      </c>
      <c r="L16">
        <v>2021</v>
      </c>
      <c r="M16">
        <v>338</v>
      </c>
      <c r="N16">
        <v>8</v>
      </c>
      <c r="O16" t="s">
        <v>51</v>
      </c>
      <c r="P16" t="s">
        <v>51</v>
      </c>
      <c r="Q16" t="s">
        <v>54</v>
      </c>
      <c r="R16" t="s">
        <v>51</v>
      </c>
      <c r="S16">
        <v>3</v>
      </c>
      <c r="T16">
        <v>1</v>
      </c>
    </row>
    <row r="17" spans="1:20" x14ac:dyDescent="0.2">
      <c r="A17">
        <v>16</v>
      </c>
      <c r="B17" t="s">
        <v>20</v>
      </c>
      <c r="C17">
        <v>2</v>
      </c>
      <c r="D17">
        <v>7</v>
      </c>
      <c r="E17">
        <v>73</v>
      </c>
      <c r="F17">
        <v>94</v>
      </c>
      <c r="G17">
        <v>142.03</v>
      </c>
      <c r="H17" t="s">
        <v>30</v>
      </c>
      <c r="I17" t="s">
        <v>36</v>
      </c>
      <c r="J17" t="s">
        <v>45</v>
      </c>
      <c r="K17" t="s">
        <v>47</v>
      </c>
      <c r="L17">
        <v>2022</v>
      </c>
      <c r="M17">
        <v>299</v>
      </c>
      <c r="N17">
        <v>6</v>
      </c>
      <c r="O17" t="s">
        <v>51</v>
      </c>
      <c r="P17" t="s">
        <v>51</v>
      </c>
      <c r="Q17" t="s">
        <v>55</v>
      </c>
      <c r="R17" t="s">
        <v>51</v>
      </c>
      <c r="S17">
        <v>7</v>
      </c>
      <c r="T17">
        <v>1</v>
      </c>
    </row>
    <row r="18" spans="1:20" x14ac:dyDescent="0.2">
      <c r="A18">
        <v>17</v>
      </c>
      <c r="B18" t="s">
        <v>20</v>
      </c>
      <c r="C18">
        <v>1</v>
      </c>
      <c r="D18">
        <v>6</v>
      </c>
      <c r="E18">
        <v>48</v>
      </c>
      <c r="F18">
        <v>24</v>
      </c>
      <c r="G18">
        <v>114.69</v>
      </c>
      <c r="H18" t="s">
        <v>21</v>
      </c>
      <c r="I18" t="s">
        <v>43</v>
      </c>
      <c r="J18" t="s">
        <v>45</v>
      </c>
      <c r="K18" t="s">
        <v>48</v>
      </c>
      <c r="L18">
        <v>2023</v>
      </c>
      <c r="M18">
        <v>367</v>
      </c>
      <c r="N18">
        <v>3</v>
      </c>
      <c r="O18" t="s">
        <v>50</v>
      </c>
      <c r="P18" t="s">
        <v>51</v>
      </c>
      <c r="Q18" t="s">
        <v>55</v>
      </c>
      <c r="R18" t="s">
        <v>51</v>
      </c>
      <c r="S18">
        <v>1</v>
      </c>
      <c r="T18">
        <v>5</v>
      </c>
    </row>
    <row r="19" spans="1:20" x14ac:dyDescent="0.2">
      <c r="A19">
        <v>18</v>
      </c>
      <c r="B19" t="s">
        <v>20</v>
      </c>
      <c r="C19">
        <v>2</v>
      </c>
      <c r="D19">
        <v>6</v>
      </c>
      <c r="E19">
        <v>54</v>
      </c>
      <c r="F19">
        <v>22</v>
      </c>
      <c r="G19">
        <v>70.55</v>
      </c>
      <c r="H19" t="s">
        <v>22</v>
      </c>
      <c r="I19" t="s">
        <v>44</v>
      </c>
      <c r="J19" t="s">
        <v>45</v>
      </c>
      <c r="K19" t="s">
        <v>46</v>
      </c>
      <c r="L19">
        <v>2024</v>
      </c>
      <c r="M19">
        <v>239</v>
      </c>
      <c r="N19">
        <v>8</v>
      </c>
      <c r="O19" t="s">
        <v>51</v>
      </c>
      <c r="P19" t="s">
        <v>51</v>
      </c>
      <c r="Q19" t="s">
        <v>54</v>
      </c>
      <c r="R19" t="s">
        <v>51</v>
      </c>
      <c r="S19">
        <v>3</v>
      </c>
      <c r="T19">
        <v>3</v>
      </c>
    </row>
    <row r="20" spans="1:20" x14ac:dyDescent="0.2">
      <c r="A20">
        <v>19</v>
      </c>
      <c r="B20" t="s">
        <v>20</v>
      </c>
      <c r="C20">
        <v>1</v>
      </c>
      <c r="D20">
        <v>7</v>
      </c>
      <c r="E20">
        <v>116</v>
      </c>
      <c r="F20">
        <v>51</v>
      </c>
      <c r="G20">
        <v>108.88</v>
      </c>
      <c r="H20" t="s">
        <v>29</v>
      </c>
      <c r="I20" t="s">
        <v>36</v>
      </c>
      <c r="J20" t="s">
        <v>45</v>
      </c>
      <c r="K20" t="s">
        <v>47</v>
      </c>
      <c r="L20">
        <v>2016</v>
      </c>
      <c r="M20">
        <v>197</v>
      </c>
      <c r="N20">
        <v>3</v>
      </c>
      <c r="O20" t="s">
        <v>51</v>
      </c>
      <c r="P20" t="s">
        <v>51</v>
      </c>
      <c r="Q20" t="s">
        <v>53</v>
      </c>
      <c r="R20" t="s">
        <v>51</v>
      </c>
      <c r="S20">
        <v>0</v>
      </c>
      <c r="T20">
        <v>0</v>
      </c>
    </row>
    <row r="21" spans="1:20" x14ac:dyDescent="0.2">
      <c r="A21">
        <v>20</v>
      </c>
      <c r="B21" t="s">
        <v>20</v>
      </c>
      <c r="C21">
        <v>2</v>
      </c>
      <c r="D21">
        <v>7</v>
      </c>
      <c r="E21">
        <v>39</v>
      </c>
      <c r="F21">
        <v>38</v>
      </c>
      <c r="G21">
        <v>68.39</v>
      </c>
      <c r="H21" t="s">
        <v>32</v>
      </c>
      <c r="I21" t="s">
        <v>38</v>
      </c>
      <c r="J21" t="s">
        <v>45</v>
      </c>
      <c r="K21" t="s">
        <v>47</v>
      </c>
      <c r="L21">
        <v>2017</v>
      </c>
      <c r="M21">
        <v>222</v>
      </c>
      <c r="N21">
        <v>4</v>
      </c>
      <c r="O21" t="s">
        <v>51</v>
      </c>
      <c r="P21" t="s">
        <v>51</v>
      </c>
      <c r="Q21" t="s">
        <v>54</v>
      </c>
      <c r="R21" t="s">
        <v>51</v>
      </c>
      <c r="S21">
        <v>3</v>
      </c>
      <c r="T21">
        <v>1</v>
      </c>
    </row>
    <row r="22" spans="1:20" x14ac:dyDescent="0.2">
      <c r="A22">
        <v>21</v>
      </c>
      <c r="B22" t="s">
        <v>20</v>
      </c>
      <c r="C22">
        <v>1</v>
      </c>
      <c r="D22">
        <v>5</v>
      </c>
      <c r="E22">
        <v>36</v>
      </c>
      <c r="F22">
        <v>89</v>
      </c>
      <c r="G22">
        <v>145.41</v>
      </c>
      <c r="H22" t="s">
        <v>25</v>
      </c>
      <c r="I22" t="s">
        <v>35</v>
      </c>
      <c r="J22" t="s">
        <v>45</v>
      </c>
      <c r="K22" t="s">
        <v>46</v>
      </c>
      <c r="L22">
        <v>2018</v>
      </c>
      <c r="M22">
        <v>257</v>
      </c>
      <c r="N22">
        <v>8</v>
      </c>
      <c r="O22" t="s">
        <v>50</v>
      </c>
      <c r="P22" t="s">
        <v>51</v>
      </c>
      <c r="Q22" t="s">
        <v>54</v>
      </c>
      <c r="R22" t="s">
        <v>51</v>
      </c>
      <c r="S22">
        <v>6</v>
      </c>
      <c r="T22">
        <v>2</v>
      </c>
    </row>
    <row r="23" spans="1:20" x14ac:dyDescent="0.2">
      <c r="A23">
        <v>22</v>
      </c>
      <c r="B23" t="s">
        <v>20</v>
      </c>
      <c r="C23">
        <v>2</v>
      </c>
      <c r="D23">
        <v>5</v>
      </c>
      <c r="E23">
        <v>31</v>
      </c>
      <c r="F23">
        <v>97</v>
      </c>
      <c r="G23">
        <v>99.18</v>
      </c>
      <c r="H23" t="s">
        <v>26</v>
      </c>
      <c r="I23" t="s">
        <v>38</v>
      </c>
      <c r="J23" t="s">
        <v>45</v>
      </c>
      <c r="K23" t="s">
        <v>48</v>
      </c>
      <c r="L23">
        <v>2019</v>
      </c>
      <c r="M23">
        <v>261</v>
      </c>
      <c r="N23">
        <v>7</v>
      </c>
      <c r="O23" t="s">
        <v>51</v>
      </c>
      <c r="P23" t="s">
        <v>51</v>
      </c>
      <c r="Q23" t="s">
        <v>53</v>
      </c>
      <c r="R23" t="s">
        <v>51</v>
      </c>
      <c r="S23">
        <v>4</v>
      </c>
      <c r="T23">
        <v>1</v>
      </c>
    </row>
    <row r="24" spans="1:20" x14ac:dyDescent="0.2">
      <c r="A24">
        <v>23</v>
      </c>
      <c r="B24" t="s">
        <v>20</v>
      </c>
      <c r="C24">
        <v>1</v>
      </c>
      <c r="D24">
        <v>7</v>
      </c>
      <c r="E24">
        <v>33</v>
      </c>
      <c r="F24">
        <v>31</v>
      </c>
      <c r="G24">
        <v>108.73</v>
      </c>
      <c r="H24" t="s">
        <v>28</v>
      </c>
      <c r="I24" t="s">
        <v>44</v>
      </c>
      <c r="J24" t="s">
        <v>45</v>
      </c>
      <c r="K24" t="s">
        <v>47</v>
      </c>
      <c r="L24">
        <v>2020</v>
      </c>
      <c r="M24">
        <v>343</v>
      </c>
      <c r="N24">
        <v>9</v>
      </c>
      <c r="O24" t="s">
        <v>51</v>
      </c>
      <c r="P24" t="s">
        <v>51</v>
      </c>
      <c r="Q24" t="s">
        <v>53</v>
      </c>
      <c r="R24" t="s">
        <v>51</v>
      </c>
      <c r="S24">
        <v>9</v>
      </c>
      <c r="T24">
        <v>6</v>
      </c>
    </row>
    <row r="25" spans="1:20" x14ac:dyDescent="0.2">
      <c r="A25">
        <v>24</v>
      </c>
      <c r="B25" t="s">
        <v>20</v>
      </c>
      <c r="C25">
        <v>2</v>
      </c>
      <c r="D25">
        <v>7</v>
      </c>
      <c r="E25">
        <v>82</v>
      </c>
      <c r="F25">
        <v>28</v>
      </c>
      <c r="G25">
        <v>92.88</v>
      </c>
      <c r="H25" t="s">
        <v>21</v>
      </c>
      <c r="I25" t="s">
        <v>41</v>
      </c>
      <c r="J25" t="s">
        <v>45</v>
      </c>
      <c r="K25" t="s">
        <v>47</v>
      </c>
      <c r="L25">
        <v>2021</v>
      </c>
      <c r="M25">
        <v>186</v>
      </c>
      <c r="N25">
        <v>2</v>
      </c>
      <c r="O25" t="s">
        <v>51</v>
      </c>
      <c r="P25" t="s">
        <v>51</v>
      </c>
      <c r="Q25" t="s">
        <v>52</v>
      </c>
      <c r="R25" t="s">
        <v>51</v>
      </c>
      <c r="S25">
        <v>11</v>
      </c>
      <c r="T25">
        <v>2</v>
      </c>
    </row>
    <row r="26" spans="1:20" x14ac:dyDescent="0.2">
      <c r="A26">
        <v>25</v>
      </c>
      <c r="B26" t="s">
        <v>20</v>
      </c>
      <c r="C26">
        <v>1</v>
      </c>
      <c r="D26">
        <v>7</v>
      </c>
      <c r="E26">
        <v>16</v>
      </c>
      <c r="F26">
        <v>36</v>
      </c>
      <c r="G26">
        <v>66.59</v>
      </c>
      <c r="H26" t="s">
        <v>27</v>
      </c>
      <c r="I26" t="s">
        <v>44</v>
      </c>
      <c r="J26" t="s">
        <v>45</v>
      </c>
      <c r="K26" t="s">
        <v>48</v>
      </c>
      <c r="L26">
        <v>2022</v>
      </c>
      <c r="M26">
        <v>243</v>
      </c>
      <c r="N26">
        <v>6</v>
      </c>
      <c r="O26" t="s">
        <v>50</v>
      </c>
      <c r="P26" t="s">
        <v>50</v>
      </c>
      <c r="Q26" t="s">
        <v>52</v>
      </c>
      <c r="R26" t="s">
        <v>51</v>
      </c>
      <c r="S26">
        <v>1</v>
      </c>
      <c r="T26">
        <v>1</v>
      </c>
    </row>
    <row r="27" spans="1:20" x14ac:dyDescent="0.2">
      <c r="A27">
        <v>26</v>
      </c>
      <c r="B27" t="s">
        <v>20</v>
      </c>
      <c r="C27">
        <v>2</v>
      </c>
      <c r="D27">
        <v>7</v>
      </c>
      <c r="E27">
        <v>113</v>
      </c>
      <c r="F27">
        <v>86</v>
      </c>
      <c r="G27">
        <v>133.63</v>
      </c>
      <c r="H27" t="s">
        <v>28</v>
      </c>
      <c r="I27" t="s">
        <v>40</v>
      </c>
      <c r="J27" t="s">
        <v>45</v>
      </c>
      <c r="K27" t="s">
        <v>49</v>
      </c>
      <c r="L27">
        <v>2023</v>
      </c>
      <c r="M27">
        <v>364</v>
      </c>
      <c r="N27">
        <v>9</v>
      </c>
      <c r="O27" t="s">
        <v>51</v>
      </c>
      <c r="P27" t="s">
        <v>51</v>
      </c>
      <c r="Q27" t="s">
        <v>55</v>
      </c>
      <c r="R27" t="s">
        <v>50</v>
      </c>
      <c r="S27">
        <v>9</v>
      </c>
      <c r="T27">
        <v>3</v>
      </c>
    </row>
    <row r="28" spans="1:20" x14ac:dyDescent="0.2">
      <c r="A28">
        <v>27</v>
      </c>
      <c r="B28" t="s">
        <v>20</v>
      </c>
      <c r="C28">
        <v>1</v>
      </c>
      <c r="D28">
        <v>7</v>
      </c>
      <c r="E28">
        <v>81</v>
      </c>
      <c r="F28">
        <v>33</v>
      </c>
      <c r="G28">
        <v>77.83</v>
      </c>
      <c r="H28" t="s">
        <v>22</v>
      </c>
      <c r="I28" t="s">
        <v>44</v>
      </c>
      <c r="J28" t="s">
        <v>45</v>
      </c>
      <c r="K28" t="s">
        <v>46</v>
      </c>
      <c r="L28">
        <v>2024</v>
      </c>
      <c r="M28">
        <v>241</v>
      </c>
      <c r="N28">
        <v>5</v>
      </c>
      <c r="O28" t="s">
        <v>51</v>
      </c>
      <c r="P28" t="s">
        <v>51</v>
      </c>
      <c r="Q28" t="s">
        <v>54</v>
      </c>
      <c r="R28" t="s">
        <v>51</v>
      </c>
      <c r="S28">
        <v>12</v>
      </c>
      <c r="T28">
        <v>5</v>
      </c>
    </row>
    <row r="29" spans="1:20" x14ac:dyDescent="0.2">
      <c r="A29">
        <v>28</v>
      </c>
      <c r="B29" t="s">
        <v>20</v>
      </c>
      <c r="C29">
        <v>2</v>
      </c>
      <c r="D29">
        <v>7</v>
      </c>
      <c r="E29">
        <v>99</v>
      </c>
      <c r="F29">
        <v>8</v>
      </c>
      <c r="G29">
        <v>82.54</v>
      </c>
      <c r="H29" t="s">
        <v>22</v>
      </c>
      <c r="I29" t="s">
        <v>40</v>
      </c>
      <c r="J29" t="s">
        <v>45</v>
      </c>
      <c r="K29" t="s">
        <v>46</v>
      </c>
      <c r="L29">
        <v>2016</v>
      </c>
      <c r="M29">
        <v>288</v>
      </c>
      <c r="N29">
        <v>5</v>
      </c>
      <c r="O29" t="s">
        <v>51</v>
      </c>
      <c r="P29" t="s">
        <v>51</v>
      </c>
      <c r="Q29" t="s">
        <v>53</v>
      </c>
      <c r="R29" t="s">
        <v>51</v>
      </c>
      <c r="S29">
        <v>11</v>
      </c>
      <c r="T29">
        <v>4</v>
      </c>
    </row>
    <row r="30" spans="1:20" x14ac:dyDescent="0.2">
      <c r="A30">
        <v>29</v>
      </c>
      <c r="B30" t="s">
        <v>20</v>
      </c>
      <c r="C30">
        <v>1</v>
      </c>
      <c r="D30">
        <v>6</v>
      </c>
      <c r="E30">
        <v>0</v>
      </c>
      <c r="F30">
        <v>31</v>
      </c>
      <c r="G30">
        <v>128.30000000000001</v>
      </c>
      <c r="H30" t="s">
        <v>32</v>
      </c>
      <c r="I30" t="s">
        <v>38</v>
      </c>
      <c r="J30" t="s">
        <v>45</v>
      </c>
      <c r="K30" t="s">
        <v>48</v>
      </c>
      <c r="L30">
        <v>2017</v>
      </c>
      <c r="M30">
        <v>373</v>
      </c>
      <c r="N30">
        <v>3</v>
      </c>
      <c r="O30" t="s">
        <v>50</v>
      </c>
      <c r="P30" t="s">
        <v>51</v>
      </c>
      <c r="Q30" t="s">
        <v>54</v>
      </c>
      <c r="R30" t="s">
        <v>51</v>
      </c>
      <c r="S30">
        <v>6</v>
      </c>
      <c r="T30">
        <v>2</v>
      </c>
    </row>
    <row r="31" spans="1:20" x14ac:dyDescent="0.2">
      <c r="A31">
        <v>30</v>
      </c>
      <c r="B31" t="s">
        <v>20</v>
      </c>
      <c r="C31">
        <v>2</v>
      </c>
      <c r="D31">
        <v>5</v>
      </c>
      <c r="E31">
        <v>59</v>
      </c>
      <c r="F31">
        <v>72</v>
      </c>
      <c r="G31">
        <v>108.3</v>
      </c>
      <c r="H31" t="s">
        <v>32</v>
      </c>
      <c r="I31" t="s">
        <v>40</v>
      </c>
      <c r="J31" t="s">
        <v>45</v>
      </c>
      <c r="K31" t="s">
        <v>46</v>
      </c>
      <c r="L31">
        <v>2018</v>
      </c>
      <c r="M31">
        <v>218</v>
      </c>
      <c r="N31">
        <v>5</v>
      </c>
      <c r="O31" t="s">
        <v>51</v>
      </c>
      <c r="P31" t="s">
        <v>51</v>
      </c>
      <c r="Q31" t="s">
        <v>55</v>
      </c>
      <c r="R31" t="s">
        <v>51</v>
      </c>
      <c r="S31">
        <v>2</v>
      </c>
      <c r="T31">
        <v>1</v>
      </c>
    </row>
    <row r="32" spans="1:20" x14ac:dyDescent="0.2">
      <c r="A32">
        <v>31</v>
      </c>
      <c r="B32" t="s">
        <v>20</v>
      </c>
      <c r="C32">
        <v>1</v>
      </c>
      <c r="D32">
        <v>6</v>
      </c>
      <c r="E32">
        <v>100</v>
      </c>
      <c r="F32">
        <v>89</v>
      </c>
      <c r="G32">
        <v>73.94</v>
      </c>
      <c r="H32" t="s">
        <v>29</v>
      </c>
      <c r="I32" t="s">
        <v>39</v>
      </c>
      <c r="J32" t="s">
        <v>45</v>
      </c>
      <c r="K32" t="s">
        <v>46</v>
      </c>
      <c r="L32">
        <v>2019</v>
      </c>
      <c r="M32">
        <v>382</v>
      </c>
      <c r="N32">
        <v>7</v>
      </c>
      <c r="O32" t="s">
        <v>51</v>
      </c>
      <c r="P32" t="s">
        <v>51</v>
      </c>
      <c r="Q32" t="s">
        <v>55</v>
      </c>
      <c r="R32" t="s">
        <v>51</v>
      </c>
      <c r="S32">
        <v>7</v>
      </c>
      <c r="T32">
        <v>5</v>
      </c>
    </row>
    <row r="33" spans="1:20" x14ac:dyDescent="0.2">
      <c r="A33">
        <v>32</v>
      </c>
      <c r="B33" t="s">
        <v>20</v>
      </c>
      <c r="C33">
        <v>2</v>
      </c>
      <c r="D33">
        <v>7</v>
      </c>
      <c r="E33">
        <v>28</v>
      </c>
      <c r="F33">
        <v>100</v>
      </c>
      <c r="G33">
        <v>145.69999999999999</v>
      </c>
      <c r="H33" t="s">
        <v>32</v>
      </c>
      <c r="I33" t="s">
        <v>41</v>
      </c>
      <c r="J33" t="s">
        <v>45</v>
      </c>
      <c r="K33" t="s">
        <v>47</v>
      </c>
      <c r="L33">
        <v>2020</v>
      </c>
      <c r="M33">
        <v>366</v>
      </c>
      <c r="N33">
        <v>9</v>
      </c>
      <c r="O33" t="s">
        <v>51</v>
      </c>
      <c r="P33" t="s">
        <v>51</v>
      </c>
      <c r="Q33" t="s">
        <v>55</v>
      </c>
      <c r="R33" t="s">
        <v>51</v>
      </c>
      <c r="S33">
        <v>6</v>
      </c>
      <c r="T33">
        <v>2</v>
      </c>
    </row>
    <row r="34" spans="1:20" x14ac:dyDescent="0.2">
      <c r="A34">
        <v>33</v>
      </c>
      <c r="B34" t="s">
        <v>20</v>
      </c>
      <c r="C34">
        <v>1</v>
      </c>
      <c r="D34">
        <v>6</v>
      </c>
      <c r="E34">
        <v>112</v>
      </c>
      <c r="F34">
        <v>11</v>
      </c>
      <c r="G34">
        <v>117.17</v>
      </c>
      <c r="H34" t="s">
        <v>27</v>
      </c>
      <c r="I34" t="s">
        <v>40</v>
      </c>
      <c r="J34" t="s">
        <v>45</v>
      </c>
      <c r="K34" t="s">
        <v>49</v>
      </c>
      <c r="L34">
        <v>2021</v>
      </c>
      <c r="M34">
        <v>389</v>
      </c>
      <c r="N34">
        <v>9</v>
      </c>
      <c r="O34" t="s">
        <v>50</v>
      </c>
      <c r="P34" t="s">
        <v>51</v>
      </c>
      <c r="Q34" t="s">
        <v>54</v>
      </c>
      <c r="R34" t="s">
        <v>51</v>
      </c>
      <c r="S34">
        <v>4</v>
      </c>
      <c r="T34">
        <v>1</v>
      </c>
    </row>
    <row r="35" spans="1:20" x14ac:dyDescent="0.2">
      <c r="A35">
        <v>34</v>
      </c>
      <c r="B35" t="s">
        <v>20</v>
      </c>
      <c r="C35">
        <v>2</v>
      </c>
      <c r="D35">
        <v>5</v>
      </c>
      <c r="E35">
        <v>97</v>
      </c>
      <c r="F35">
        <v>100</v>
      </c>
      <c r="G35">
        <v>109.06</v>
      </c>
      <c r="H35" t="s">
        <v>24</v>
      </c>
      <c r="I35" t="s">
        <v>39</v>
      </c>
      <c r="J35" t="s">
        <v>45</v>
      </c>
      <c r="K35" t="s">
        <v>46</v>
      </c>
      <c r="L35">
        <v>2022</v>
      </c>
      <c r="M35">
        <v>251</v>
      </c>
      <c r="N35">
        <v>2</v>
      </c>
      <c r="O35" t="s">
        <v>51</v>
      </c>
      <c r="P35" t="s">
        <v>51</v>
      </c>
      <c r="Q35" t="s">
        <v>54</v>
      </c>
      <c r="R35" t="s">
        <v>51</v>
      </c>
      <c r="S35">
        <v>6</v>
      </c>
      <c r="T35">
        <v>6</v>
      </c>
    </row>
    <row r="36" spans="1:20" x14ac:dyDescent="0.2">
      <c r="A36">
        <v>35</v>
      </c>
      <c r="B36" t="s">
        <v>20</v>
      </c>
      <c r="C36">
        <v>1</v>
      </c>
      <c r="D36">
        <v>5</v>
      </c>
      <c r="E36">
        <v>40</v>
      </c>
      <c r="F36">
        <v>77</v>
      </c>
      <c r="G36">
        <v>127.26</v>
      </c>
      <c r="H36" t="s">
        <v>33</v>
      </c>
      <c r="I36" t="s">
        <v>41</v>
      </c>
      <c r="J36" t="s">
        <v>45</v>
      </c>
      <c r="K36" t="s">
        <v>49</v>
      </c>
      <c r="L36">
        <v>2023</v>
      </c>
      <c r="M36">
        <v>380</v>
      </c>
      <c r="N36">
        <v>5</v>
      </c>
      <c r="O36" t="s">
        <v>51</v>
      </c>
      <c r="P36" t="s">
        <v>51</v>
      </c>
      <c r="Q36" t="s">
        <v>54</v>
      </c>
      <c r="R36" t="s">
        <v>51</v>
      </c>
      <c r="S36">
        <v>9</v>
      </c>
      <c r="T36">
        <v>4</v>
      </c>
    </row>
    <row r="37" spans="1:20" x14ac:dyDescent="0.2">
      <c r="A37">
        <v>36</v>
      </c>
      <c r="B37" t="s">
        <v>20</v>
      </c>
      <c r="C37">
        <v>2</v>
      </c>
      <c r="D37">
        <v>6</v>
      </c>
      <c r="E37">
        <v>58</v>
      </c>
      <c r="F37">
        <v>33</v>
      </c>
      <c r="G37">
        <v>62.39</v>
      </c>
      <c r="H37" t="s">
        <v>27</v>
      </c>
      <c r="I37" t="s">
        <v>38</v>
      </c>
      <c r="J37" t="s">
        <v>45</v>
      </c>
      <c r="K37" t="s">
        <v>47</v>
      </c>
      <c r="L37">
        <v>2024</v>
      </c>
      <c r="M37">
        <v>320</v>
      </c>
      <c r="N37">
        <v>5</v>
      </c>
      <c r="O37" t="s">
        <v>51</v>
      </c>
      <c r="P37" t="s">
        <v>51</v>
      </c>
      <c r="Q37" t="s">
        <v>55</v>
      </c>
      <c r="R37" t="s">
        <v>51</v>
      </c>
      <c r="S37">
        <v>9</v>
      </c>
      <c r="T37">
        <v>2</v>
      </c>
    </row>
    <row r="38" spans="1:20" x14ac:dyDescent="0.2">
      <c r="A38">
        <v>37</v>
      </c>
      <c r="B38" t="s">
        <v>20</v>
      </c>
      <c r="C38">
        <v>1</v>
      </c>
      <c r="D38">
        <v>6</v>
      </c>
      <c r="E38">
        <v>114</v>
      </c>
      <c r="F38">
        <v>52</v>
      </c>
      <c r="G38">
        <v>89.18</v>
      </c>
      <c r="H38" t="s">
        <v>21</v>
      </c>
      <c r="I38" t="s">
        <v>43</v>
      </c>
      <c r="J38" t="s">
        <v>45</v>
      </c>
      <c r="K38" t="s">
        <v>49</v>
      </c>
      <c r="L38">
        <v>2016</v>
      </c>
      <c r="M38">
        <v>334</v>
      </c>
      <c r="N38">
        <v>2</v>
      </c>
      <c r="O38" t="s">
        <v>50</v>
      </c>
      <c r="P38" t="s">
        <v>50</v>
      </c>
      <c r="Q38" t="s">
        <v>52</v>
      </c>
      <c r="R38" t="s">
        <v>51</v>
      </c>
      <c r="S38">
        <v>1</v>
      </c>
      <c r="T38">
        <v>6</v>
      </c>
    </row>
    <row r="39" spans="1:20" x14ac:dyDescent="0.2">
      <c r="A39">
        <v>38</v>
      </c>
      <c r="B39" t="s">
        <v>20</v>
      </c>
      <c r="C39">
        <v>2</v>
      </c>
      <c r="D39">
        <v>6</v>
      </c>
      <c r="E39">
        <v>74</v>
      </c>
      <c r="F39">
        <v>52</v>
      </c>
      <c r="G39">
        <v>119.85</v>
      </c>
      <c r="H39" t="s">
        <v>27</v>
      </c>
      <c r="I39" t="s">
        <v>42</v>
      </c>
      <c r="J39" t="s">
        <v>45</v>
      </c>
      <c r="K39" t="s">
        <v>46</v>
      </c>
      <c r="L39">
        <v>2017</v>
      </c>
      <c r="M39">
        <v>255</v>
      </c>
      <c r="N39">
        <v>9</v>
      </c>
      <c r="O39" t="s">
        <v>51</v>
      </c>
      <c r="P39" t="s">
        <v>51</v>
      </c>
      <c r="Q39" t="s">
        <v>55</v>
      </c>
      <c r="R39" t="s">
        <v>51</v>
      </c>
      <c r="S39">
        <v>10</v>
      </c>
      <c r="T39">
        <v>1</v>
      </c>
    </row>
    <row r="40" spans="1:20" x14ac:dyDescent="0.2">
      <c r="A40">
        <v>39</v>
      </c>
      <c r="B40" t="s">
        <v>20</v>
      </c>
      <c r="C40">
        <v>1</v>
      </c>
      <c r="D40">
        <v>6</v>
      </c>
      <c r="E40">
        <v>40</v>
      </c>
      <c r="F40">
        <v>59</v>
      </c>
      <c r="G40">
        <v>68.36</v>
      </c>
      <c r="H40" t="s">
        <v>27</v>
      </c>
      <c r="I40" t="s">
        <v>41</v>
      </c>
      <c r="J40" t="s">
        <v>45</v>
      </c>
      <c r="K40" t="s">
        <v>47</v>
      </c>
      <c r="L40">
        <v>2018</v>
      </c>
      <c r="M40">
        <v>361</v>
      </c>
      <c r="N40">
        <v>4</v>
      </c>
      <c r="O40" t="s">
        <v>51</v>
      </c>
      <c r="P40" t="s">
        <v>51</v>
      </c>
      <c r="Q40" t="s">
        <v>54</v>
      </c>
      <c r="R40" t="s">
        <v>51</v>
      </c>
      <c r="S40">
        <v>5</v>
      </c>
      <c r="T40">
        <v>4</v>
      </c>
    </row>
    <row r="41" spans="1:20" x14ac:dyDescent="0.2">
      <c r="A41">
        <v>40</v>
      </c>
      <c r="B41" t="s">
        <v>20</v>
      </c>
      <c r="C41">
        <v>2</v>
      </c>
      <c r="D41">
        <v>6</v>
      </c>
      <c r="E41">
        <v>12</v>
      </c>
      <c r="F41">
        <v>30</v>
      </c>
      <c r="G41">
        <v>100.06</v>
      </c>
      <c r="H41" t="s">
        <v>28</v>
      </c>
      <c r="I41" t="s">
        <v>38</v>
      </c>
      <c r="J41" t="s">
        <v>45</v>
      </c>
      <c r="K41" t="s">
        <v>49</v>
      </c>
      <c r="L41">
        <v>2019</v>
      </c>
      <c r="M41">
        <v>253</v>
      </c>
      <c r="N41">
        <v>9</v>
      </c>
      <c r="O41" t="s">
        <v>51</v>
      </c>
      <c r="P41" t="s">
        <v>51</v>
      </c>
      <c r="Q41" t="s">
        <v>55</v>
      </c>
      <c r="R41" t="s">
        <v>51</v>
      </c>
      <c r="S41">
        <v>9</v>
      </c>
      <c r="T41">
        <v>5</v>
      </c>
    </row>
    <row r="42" spans="1:20" x14ac:dyDescent="0.2">
      <c r="A42">
        <v>41</v>
      </c>
      <c r="B42" t="s">
        <v>20</v>
      </c>
      <c r="C42">
        <v>1</v>
      </c>
      <c r="D42">
        <v>7</v>
      </c>
      <c r="E42">
        <v>35</v>
      </c>
      <c r="F42">
        <v>16</v>
      </c>
      <c r="G42">
        <v>99.72</v>
      </c>
      <c r="H42" t="s">
        <v>22</v>
      </c>
      <c r="I42" t="s">
        <v>40</v>
      </c>
      <c r="J42" t="s">
        <v>45</v>
      </c>
      <c r="K42" t="s">
        <v>48</v>
      </c>
      <c r="L42">
        <v>2020</v>
      </c>
      <c r="M42">
        <v>234</v>
      </c>
      <c r="N42">
        <v>9</v>
      </c>
      <c r="O42" t="s">
        <v>50</v>
      </c>
      <c r="P42" t="s">
        <v>51</v>
      </c>
      <c r="Q42" t="s">
        <v>54</v>
      </c>
      <c r="R42" t="s">
        <v>51</v>
      </c>
      <c r="S42">
        <v>9</v>
      </c>
      <c r="T42">
        <v>0</v>
      </c>
    </row>
    <row r="43" spans="1:20" x14ac:dyDescent="0.2">
      <c r="A43">
        <v>42</v>
      </c>
      <c r="B43" t="s">
        <v>20</v>
      </c>
      <c r="C43">
        <v>2</v>
      </c>
      <c r="D43">
        <v>5</v>
      </c>
      <c r="E43">
        <v>32</v>
      </c>
      <c r="F43">
        <v>98</v>
      </c>
      <c r="G43">
        <v>135.12</v>
      </c>
      <c r="H43" t="s">
        <v>22</v>
      </c>
      <c r="I43" t="s">
        <v>35</v>
      </c>
      <c r="J43" t="s">
        <v>45</v>
      </c>
      <c r="K43" t="s">
        <v>48</v>
      </c>
      <c r="L43">
        <v>2021</v>
      </c>
      <c r="M43">
        <v>344</v>
      </c>
      <c r="N43">
        <v>4</v>
      </c>
      <c r="O43" t="s">
        <v>51</v>
      </c>
      <c r="P43" t="s">
        <v>51</v>
      </c>
      <c r="Q43" t="s">
        <v>55</v>
      </c>
      <c r="R43" t="s">
        <v>51</v>
      </c>
      <c r="S43">
        <v>11</v>
      </c>
      <c r="T43">
        <v>6</v>
      </c>
    </row>
    <row r="44" spans="1:20" x14ac:dyDescent="0.2">
      <c r="A44">
        <v>43</v>
      </c>
      <c r="B44" t="s">
        <v>20</v>
      </c>
      <c r="C44">
        <v>1</v>
      </c>
      <c r="D44">
        <v>5</v>
      </c>
      <c r="E44">
        <v>105</v>
      </c>
      <c r="F44">
        <v>45</v>
      </c>
      <c r="G44">
        <v>136.37</v>
      </c>
      <c r="H44" t="s">
        <v>24</v>
      </c>
      <c r="I44" t="s">
        <v>39</v>
      </c>
      <c r="J44" t="s">
        <v>45</v>
      </c>
      <c r="K44" t="s">
        <v>46</v>
      </c>
      <c r="L44">
        <v>2022</v>
      </c>
      <c r="M44">
        <v>337</v>
      </c>
      <c r="N44">
        <v>7</v>
      </c>
      <c r="O44" t="s">
        <v>51</v>
      </c>
      <c r="P44" t="s">
        <v>51</v>
      </c>
      <c r="Q44" t="s">
        <v>54</v>
      </c>
      <c r="R44" t="s">
        <v>51</v>
      </c>
      <c r="S44">
        <v>9</v>
      </c>
      <c r="T44">
        <v>2</v>
      </c>
    </row>
    <row r="45" spans="1:20" x14ac:dyDescent="0.2">
      <c r="A45">
        <v>44</v>
      </c>
      <c r="B45" t="s">
        <v>20</v>
      </c>
      <c r="C45">
        <v>2</v>
      </c>
      <c r="D45">
        <v>5</v>
      </c>
      <c r="E45">
        <v>30</v>
      </c>
      <c r="F45">
        <v>9</v>
      </c>
      <c r="G45">
        <v>73.459999999999994</v>
      </c>
      <c r="H45" t="s">
        <v>21</v>
      </c>
      <c r="I45" t="s">
        <v>37</v>
      </c>
      <c r="J45" t="s">
        <v>45</v>
      </c>
      <c r="K45" t="s">
        <v>49</v>
      </c>
      <c r="L45">
        <v>2023</v>
      </c>
      <c r="M45">
        <v>292</v>
      </c>
      <c r="N45">
        <v>8</v>
      </c>
      <c r="O45" t="s">
        <v>51</v>
      </c>
      <c r="P45" t="s">
        <v>51</v>
      </c>
      <c r="Q45" t="s">
        <v>55</v>
      </c>
      <c r="R45" t="s">
        <v>51</v>
      </c>
      <c r="S45">
        <v>1</v>
      </c>
      <c r="T45">
        <v>4</v>
      </c>
    </row>
    <row r="46" spans="1:20" x14ac:dyDescent="0.2">
      <c r="A46">
        <v>45</v>
      </c>
      <c r="B46" t="s">
        <v>20</v>
      </c>
      <c r="C46">
        <v>1</v>
      </c>
      <c r="D46">
        <v>6</v>
      </c>
      <c r="E46">
        <v>101</v>
      </c>
      <c r="F46">
        <v>86</v>
      </c>
      <c r="G46">
        <v>70.55</v>
      </c>
      <c r="H46" t="s">
        <v>21</v>
      </c>
      <c r="I46" t="s">
        <v>40</v>
      </c>
      <c r="J46" t="s">
        <v>45</v>
      </c>
      <c r="K46" t="s">
        <v>49</v>
      </c>
      <c r="L46">
        <v>2024</v>
      </c>
      <c r="M46">
        <v>263</v>
      </c>
      <c r="N46">
        <v>3</v>
      </c>
      <c r="O46" t="s">
        <v>50</v>
      </c>
      <c r="P46" t="s">
        <v>51</v>
      </c>
      <c r="Q46" t="s">
        <v>54</v>
      </c>
      <c r="R46" t="s">
        <v>51</v>
      </c>
      <c r="S46">
        <v>10</v>
      </c>
      <c r="T46">
        <v>0</v>
      </c>
    </row>
    <row r="47" spans="1:20" x14ac:dyDescent="0.2">
      <c r="A47">
        <v>46</v>
      </c>
      <c r="B47" t="s">
        <v>20</v>
      </c>
      <c r="C47">
        <v>2</v>
      </c>
      <c r="D47">
        <v>5</v>
      </c>
      <c r="E47">
        <v>94</v>
      </c>
      <c r="F47">
        <v>24</v>
      </c>
      <c r="G47">
        <v>133.4</v>
      </c>
      <c r="H47" t="s">
        <v>22</v>
      </c>
      <c r="I47" t="s">
        <v>35</v>
      </c>
      <c r="J47" t="s">
        <v>45</v>
      </c>
      <c r="K47" t="s">
        <v>47</v>
      </c>
      <c r="L47">
        <v>2016</v>
      </c>
      <c r="M47">
        <v>195</v>
      </c>
      <c r="N47">
        <v>7</v>
      </c>
      <c r="O47" t="s">
        <v>51</v>
      </c>
      <c r="P47" t="s">
        <v>51</v>
      </c>
      <c r="Q47" t="s">
        <v>55</v>
      </c>
      <c r="R47" t="s">
        <v>51</v>
      </c>
      <c r="S47">
        <v>8</v>
      </c>
      <c r="T47">
        <v>4</v>
      </c>
    </row>
    <row r="48" spans="1:20" x14ac:dyDescent="0.2">
      <c r="A48">
        <v>47</v>
      </c>
      <c r="B48" t="s">
        <v>20</v>
      </c>
      <c r="C48">
        <v>1</v>
      </c>
      <c r="D48">
        <v>6</v>
      </c>
      <c r="E48">
        <v>79</v>
      </c>
      <c r="F48">
        <v>29</v>
      </c>
      <c r="G48">
        <v>81.44</v>
      </c>
      <c r="H48" t="s">
        <v>33</v>
      </c>
      <c r="I48" t="s">
        <v>38</v>
      </c>
      <c r="J48" t="s">
        <v>45</v>
      </c>
      <c r="K48" t="s">
        <v>49</v>
      </c>
      <c r="L48">
        <v>2017</v>
      </c>
      <c r="M48">
        <v>334</v>
      </c>
      <c r="N48">
        <v>2</v>
      </c>
      <c r="O48" t="s">
        <v>51</v>
      </c>
      <c r="P48" t="s">
        <v>51</v>
      </c>
      <c r="Q48" t="s">
        <v>55</v>
      </c>
      <c r="R48" t="s">
        <v>51</v>
      </c>
      <c r="S48">
        <v>9</v>
      </c>
      <c r="T48">
        <v>2</v>
      </c>
    </row>
    <row r="49" spans="1:20" x14ac:dyDescent="0.2">
      <c r="A49">
        <v>48</v>
      </c>
      <c r="B49" t="s">
        <v>20</v>
      </c>
      <c r="C49">
        <v>2</v>
      </c>
      <c r="D49">
        <v>6</v>
      </c>
      <c r="E49">
        <v>37</v>
      </c>
      <c r="F49">
        <v>67</v>
      </c>
      <c r="G49">
        <v>124.43</v>
      </c>
      <c r="H49" t="s">
        <v>26</v>
      </c>
      <c r="I49" t="s">
        <v>42</v>
      </c>
      <c r="J49" t="s">
        <v>45</v>
      </c>
      <c r="K49" t="s">
        <v>48</v>
      </c>
      <c r="L49">
        <v>2018</v>
      </c>
      <c r="M49">
        <v>270</v>
      </c>
      <c r="N49">
        <v>10</v>
      </c>
      <c r="O49" t="s">
        <v>51</v>
      </c>
      <c r="P49" t="s">
        <v>51</v>
      </c>
      <c r="Q49" t="s">
        <v>52</v>
      </c>
      <c r="R49" t="s">
        <v>51</v>
      </c>
      <c r="S49">
        <v>9</v>
      </c>
      <c r="T49">
        <v>3</v>
      </c>
    </row>
    <row r="50" spans="1:20" x14ac:dyDescent="0.2">
      <c r="A50">
        <v>49</v>
      </c>
      <c r="B50" t="s">
        <v>20</v>
      </c>
      <c r="C50">
        <v>1</v>
      </c>
      <c r="D50">
        <v>5</v>
      </c>
      <c r="E50">
        <v>35</v>
      </c>
      <c r="F50">
        <v>61</v>
      </c>
      <c r="G50">
        <v>126.32</v>
      </c>
      <c r="H50" t="s">
        <v>31</v>
      </c>
      <c r="I50" t="s">
        <v>43</v>
      </c>
      <c r="J50" t="s">
        <v>45</v>
      </c>
      <c r="K50" t="s">
        <v>47</v>
      </c>
      <c r="L50">
        <v>2019</v>
      </c>
      <c r="M50">
        <v>368</v>
      </c>
      <c r="N50">
        <v>2</v>
      </c>
      <c r="O50" t="s">
        <v>50</v>
      </c>
      <c r="P50" t="s">
        <v>50</v>
      </c>
      <c r="Q50" t="s">
        <v>53</v>
      </c>
      <c r="R50" t="s">
        <v>51</v>
      </c>
      <c r="S50">
        <v>0</v>
      </c>
      <c r="T50">
        <v>6</v>
      </c>
    </row>
    <row r="51" spans="1:20" x14ac:dyDescent="0.2">
      <c r="A51">
        <v>50</v>
      </c>
      <c r="B51" t="s">
        <v>20</v>
      </c>
      <c r="C51">
        <v>2</v>
      </c>
      <c r="D51">
        <v>5</v>
      </c>
      <c r="E51">
        <v>105</v>
      </c>
      <c r="F51">
        <v>68</v>
      </c>
      <c r="G51">
        <v>76.099999999999994</v>
      </c>
      <c r="H51" t="s">
        <v>31</v>
      </c>
      <c r="I51" t="s">
        <v>44</v>
      </c>
      <c r="J51" t="s">
        <v>45</v>
      </c>
      <c r="K51" t="s">
        <v>46</v>
      </c>
      <c r="L51">
        <v>2020</v>
      </c>
      <c r="M51">
        <v>389</v>
      </c>
      <c r="N51">
        <v>5</v>
      </c>
      <c r="O51" t="s">
        <v>51</v>
      </c>
      <c r="P51" t="s">
        <v>51</v>
      </c>
      <c r="Q51" t="s">
        <v>54</v>
      </c>
      <c r="R51" t="s">
        <v>51</v>
      </c>
      <c r="S51">
        <v>5</v>
      </c>
      <c r="T51">
        <v>0</v>
      </c>
    </row>
    <row r="52" spans="1:20" x14ac:dyDescent="0.2">
      <c r="A52">
        <v>51</v>
      </c>
      <c r="B52" t="s">
        <v>20</v>
      </c>
      <c r="C52">
        <v>1</v>
      </c>
      <c r="D52">
        <v>7</v>
      </c>
      <c r="E52">
        <v>3</v>
      </c>
      <c r="F52">
        <v>87</v>
      </c>
      <c r="G52">
        <v>129.71</v>
      </c>
      <c r="H52" t="s">
        <v>22</v>
      </c>
      <c r="I52" t="s">
        <v>35</v>
      </c>
      <c r="J52" t="s">
        <v>45</v>
      </c>
      <c r="K52" t="s">
        <v>48</v>
      </c>
      <c r="L52">
        <v>2021</v>
      </c>
      <c r="M52">
        <v>181</v>
      </c>
      <c r="N52">
        <v>2</v>
      </c>
      <c r="O52" t="s">
        <v>51</v>
      </c>
      <c r="P52" t="s">
        <v>51</v>
      </c>
      <c r="Q52" t="s">
        <v>53</v>
      </c>
      <c r="R52" t="s">
        <v>50</v>
      </c>
      <c r="S52">
        <v>10</v>
      </c>
      <c r="T52">
        <v>6</v>
      </c>
    </row>
    <row r="53" spans="1:20" x14ac:dyDescent="0.2">
      <c r="A53">
        <v>52</v>
      </c>
      <c r="B53" t="s">
        <v>20</v>
      </c>
      <c r="C53">
        <v>2</v>
      </c>
      <c r="D53">
        <v>6</v>
      </c>
      <c r="E53">
        <v>112</v>
      </c>
      <c r="F53">
        <v>6</v>
      </c>
      <c r="G53">
        <v>78.95</v>
      </c>
      <c r="H53" t="s">
        <v>34</v>
      </c>
      <c r="I53" t="s">
        <v>39</v>
      </c>
      <c r="J53" t="s">
        <v>45</v>
      </c>
      <c r="K53" t="s">
        <v>49</v>
      </c>
      <c r="L53">
        <v>2022</v>
      </c>
      <c r="M53">
        <v>311</v>
      </c>
      <c r="N53">
        <v>9</v>
      </c>
      <c r="O53" t="s">
        <v>51</v>
      </c>
      <c r="P53" t="s">
        <v>51</v>
      </c>
      <c r="Q53" t="s">
        <v>54</v>
      </c>
      <c r="R53" t="s">
        <v>51</v>
      </c>
      <c r="S53">
        <v>11</v>
      </c>
      <c r="T53">
        <v>1</v>
      </c>
    </row>
    <row r="54" spans="1:20" x14ac:dyDescent="0.2">
      <c r="A54">
        <v>53</v>
      </c>
      <c r="B54" t="s">
        <v>20</v>
      </c>
      <c r="C54">
        <v>1</v>
      </c>
      <c r="D54">
        <v>5</v>
      </c>
      <c r="E54">
        <v>59</v>
      </c>
      <c r="F54">
        <v>14</v>
      </c>
      <c r="G54">
        <v>149.66999999999999</v>
      </c>
      <c r="H54" t="s">
        <v>22</v>
      </c>
      <c r="I54" t="s">
        <v>40</v>
      </c>
      <c r="J54" t="s">
        <v>45</v>
      </c>
      <c r="K54" t="s">
        <v>47</v>
      </c>
      <c r="L54">
        <v>2023</v>
      </c>
      <c r="M54">
        <v>275</v>
      </c>
      <c r="N54">
        <v>5</v>
      </c>
      <c r="O54" t="s">
        <v>50</v>
      </c>
      <c r="P54" t="s">
        <v>51</v>
      </c>
      <c r="Q54" t="s">
        <v>55</v>
      </c>
      <c r="R54" t="s">
        <v>51</v>
      </c>
      <c r="S54">
        <v>11</v>
      </c>
      <c r="T54">
        <v>2</v>
      </c>
    </row>
    <row r="55" spans="1:20" x14ac:dyDescent="0.2">
      <c r="A55">
        <v>54</v>
      </c>
      <c r="B55" t="s">
        <v>20</v>
      </c>
      <c r="C55">
        <v>2</v>
      </c>
      <c r="D55">
        <v>6</v>
      </c>
      <c r="E55">
        <v>44</v>
      </c>
      <c r="F55">
        <v>33</v>
      </c>
      <c r="G55">
        <v>78.739999999999995</v>
      </c>
      <c r="H55" t="s">
        <v>34</v>
      </c>
      <c r="I55" t="s">
        <v>42</v>
      </c>
      <c r="J55" t="s">
        <v>45</v>
      </c>
      <c r="K55" t="s">
        <v>47</v>
      </c>
      <c r="L55">
        <v>2024</v>
      </c>
      <c r="M55">
        <v>246</v>
      </c>
      <c r="N55">
        <v>8</v>
      </c>
      <c r="O55" t="s">
        <v>51</v>
      </c>
      <c r="P55" t="s">
        <v>51</v>
      </c>
      <c r="Q55" t="s">
        <v>55</v>
      </c>
      <c r="R55" t="s">
        <v>51</v>
      </c>
      <c r="S55">
        <v>2</v>
      </c>
      <c r="T55">
        <v>3</v>
      </c>
    </row>
    <row r="56" spans="1:20" x14ac:dyDescent="0.2">
      <c r="A56">
        <v>55</v>
      </c>
      <c r="B56" t="s">
        <v>20</v>
      </c>
      <c r="C56">
        <v>1</v>
      </c>
      <c r="D56">
        <v>7</v>
      </c>
      <c r="E56">
        <v>14</v>
      </c>
      <c r="F56">
        <v>93</v>
      </c>
      <c r="G56">
        <v>141.69999999999999</v>
      </c>
      <c r="H56" t="s">
        <v>33</v>
      </c>
      <c r="I56" t="s">
        <v>37</v>
      </c>
      <c r="J56" t="s">
        <v>45</v>
      </c>
      <c r="K56" t="s">
        <v>48</v>
      </c>
      <c r="L56">
        <v>2016</v>
      </c>
      <c r="M56">
        <v>234</v>
      </c>
      <c r="N56">
        <v>6</v>
      </c>
      <c r="O56" t="s">
        <v>51</v>
      </c>
      <c r="P56" t="s">
        <v>51</v>
      </c>
      <c r="Q56" t="s">
        <v>55</v>
      </c>
      <c r="R56" t="s">
        <v>51</v>
      </c>
      <c r="S56">
        <v>11</v>
      </c>
      <c r="T56">
        <v>5</v>
      </c>
    </row>
    <row r="57" spans="1:20" x14ac:dyDescent="0.2">
      <c r="A57">
        <v>56</v>
      </c>
      <c r="B57" t="s">
        <v>20</v>
      </c>
      <c r="C57">
        <v>2</v>
      </c>
      <c r="D57">
        <v>5</v>
      </c>
      <c r="E57">
        <v>30</v>
      </c>
      <c r="F57">
        <v>92</v>
      </c>
      <c r="G57">
        <v>140.35</v>
      </c>
      <c r="H57" t="s">
        <v>28</v>
      </c>
      <c r="I57" t="s">
        <v>44</v>
      </c>
      <c r="J57" t="s">
        <v>45</v>
      </c>
      <c r="K57" t="s">
        <v>46</v>
      </c>
      <c r="L57">
        <v>2017</v>
      </c>
      <c r="M57">
        <v>206</v>
      </c>
      <c r="N57">
        <v>7</v>
      </c>
      <c r="O57" t="s">
        <v>51</v>
      </c>
      <c r="P57" t="s">
        <v>51</v>
      </c>
      <c r="Q57" t="s">
        <v>54</v>
      </c>
      <c r="R57" t="s">
        <v>51</v>
      </c>
      <c r="S57">
        <v>2</v>
      </c>
      <c r="T57">
        <v>2</v>
      </c>
    </row>
    <row r="58" spans="1:20" x14ac:dyDescent="0.2">
      <c r="A58">
        <v>57</v>
      </c>
      <c r="B58" t="s">
        <v>20</v>
      </c>
      <c r="C58">
        <v>1</v>
      </c>
      <c r="D58">
        <v>6</v>
      </c>
      <c r="E58">
        <v>46</v>
      </c>
      <c r="F58">
        <v>16</v>
      </c>
      <c r="G58">
        <v>77.38</v>
      </c>
      <c r="H58" t="s">
        <v>26</v>
      </c>
      <c r="I58" t="s">
        <v>42</v>
      </c>
      <c r="J58" t="s">
        <v>45</v>
      </c>
      <c r="K58" t="s">
        <v>46</v>
      </c>
      <c r="L58">
        <v>2018</v>
      </c>
      <c r="M58">
        <v>380</v>
      </c>
      <c r="N58">
        <v>8</v>
      </c>
      <c r="O58" t="s">
        <v>50</v>
      </c>
      <c r="P58" t="s">
        <v>51</v>
      </c>
      <c r="Q58" t="s">
        <v>54</v>
      </c>
      <c r="R58" t="s">
        <v>51</v>
      </c>
      <c r="S58">
        <v>2</v>
      </c>
      <c r="T58">
        <v>6</v>
      </c>
    </row>
    <row r="59" spans="1:20" x14ac:dyDescent="0.2">
      <c r="A59">
        <v>58</v>
      </c>
      <c r="B59" t="s">
        <v>20</v>
      </c>
      <c r="C59">
        <v>2</v>
      </c>
      <c r="D59">
        <v>6</v>
      </c>
      <c r="E59">
        <v>41</v>
      </c>
      <c r="F59">
        <v>17</v>
      </c>
      <c r="G59">
        <v>133.19</v>
      </c>
      <c r="H59" t="s">
        <v>24</v>
      </c>
      <c r="I59" t="s">
        <v>42</v>
      </c>
      <c r="J59" t="s">
        <v>45</v>
      </c>
      <c r="K59" t="s">
        <v>49</v>
      </c>
      <c r="L59">
        <v>2019</v>
      </c>
      <c r="M59">
        <v>215</v>
      </c>
      <c r="N59">
        <v>6</v>
      </c>
      <c r="O59" t="s">
        <v>51</v>
      </c>
      <c r="P59" t="s">
        <v>51</v>
      </c>
      <c r="Q59" t="s">
        <v>54</v>
      </c>
      <c r="R59" t="s">
        <v>51</v>
      </c>
      <c r="S59">
        <v>11</v>
      </c>
      <c r="T59">
        <v>6</v>
      </c>
    </row>
    <row r="60" spans="1:20" x14ac:dyDescent="0.2">
      <c r="A60">
        <v>59</v>
      </c>
      <c r="B60" t="s">
        <v>20</v>
      </c>
      <c r="C60">
        <v>1</v>
      </c>
      <c r="D60">
        <v>6</v>
      </c>
      <c r="E60">
        <v>17</v>
      </c>
      <c r="F60">
        <v>96</v>
      </c>
      <c r="G60">
        <v>94.68</v>
      </c>
      <c r="H60" t="s">
        <v>30</v>
      </c>
      <c r="I60" t="s">
        <v>39</v>
      </c>
      <c r="J60" t="s">
        <v>45</v>
      </c>
      <c r="K60" t="s">
        <v>47</v>
      </c>
      <c r="L60">
        <v>2020</v>
      </c>
      <c r="M60">
        <v>224</v>
      </c>
      <c r="N60">
        <v>6</v>
      </c>
      <c r="O60" t="s">
        <v>51</v>
      </c>
      <c r="P60" t="s">
        <v>51</v>
      </c>
      <c r="Q60" t="s">
        <v>52</v>
      </c>
      <c r="R60" t="s">
        <v>51</v>
      </c>
      <c r="S60">
        <v>4</v>
      </c>
      <c r="T60">
        <v>0</v>
      </c>
    </row>
    <row r="61" spans="1:20" x14ac:dyDescent="0.2">
      <c r="A61">
        <v>60</v>
      </c>
      <c r="B61" t="s">
        <v>20</v>
      </c>
      <c r="C61">
        <v>2</v>
      </c>
      <c r="D61">
        <v>7</v>
      </c>
      <c r="E61">
        <v>40</v>
      </c>
      <c r="F61">
        <v>58</v>
      </c>
      <c r="G61">
        <v>107.32</v>
      </c>
      <c r="H61" t="s">
        <v>28</v>
      </c>
      <c r="I61" t="s">
        <v>36</v>
      </c>
      <c r="J61" t="s">
        <v>45</v>
      </c>
      <c r="K61" t="s">
        <v>48</v>
      </c>
      <c r="L61">
        <v>2021</v>
      </c>
      <c r="M61">
        <v>339</v>
      </c>
      <c r="N61">
        <v>2</v>
      </c>
      <c r="O61" t="s">
        <v>51</v>
      </c>
      <c r="P61" t="s">
        <v>51</v>
      </c>
      <c r="Q61" t="s">
        <v>54</v>
      </c>
      <c r="R61" t="s">
        <v>51</v>
      </c>
      <c r="S61">
        <v>0</v>
      </c>
      <c r="T61">
        <v>4</v>
      </c>
    </row>
    <row r="62" spans="1:20" x14ac:dyDescent="0.2">
      <c r="A62">
        <v>61</v>
      </c>
      <c r="B62" t="s">
        <v>20</v>
      </c>
      <c r="C62">
        <v>1</v>
      </c>
      <c r="D62">
        <v>7</v>
      </c>
      <c r="E62">
        <v>23</v>
      </c>
      <c r="F62">
        <v>24</v>
      </c>
      <c r="G62">
        <v>67.25</v>
      </c>
      <c r="H62" t="s">
        <v>29</v>
      </c>
      <c r="I62" t="s">
        <v>43</v>
      </c>
      <c r="J62" t="s">
        <v>45</v>
      </c>
      <c r="K62" t="s">
        <v>48</v>
      </c>
      <c r="L62">
        <v>2022</v>
      </c>
      <c r="M62">
        <v>285</v>
      </c>
      <c r="N62">
        <v>2</v>
      </c>
      <c r="O62" t="s">
        <v>50</v>
      </c>
      <c r="P62" t="s">
        <v>50</v>
      </c>
      <c r="Q62" t="s">
        <v>55</v>
      </c>
      <c r="R62" t="s">
        <v>51</v>
      </c>
      <c r="S62">
        <v>6</v>
      </c>
      <c r="T62">
        <v>4</v>
      </c>
    </row>
    <row r="63" spans="1:20" x14ac:dyDescent="0.2">
      <c r="A63">
        <v>62</v>
      </c>
      <c r="B63" t="s">
        <v>20</v>
      </c>
      <c r="C63">
        <v>2</v>
      </c>
      <c r="D63">
        <v>6</v>
      </c>
      <c r="E63">
        <v>91</v>
      </c>
      <c r="F63">
        <v>75</v>
      </c>
      <c r="G63">
        <v>124.26</v>
      </c>
      <c r="H63" t="s">
        <v>28</v>
      </c>
      <c r="I63" t="s">
        <v>40</v>
      </c>
      <c r="J63" t="s">
        <v>45</v>
      </c>
      <c r="K63" t="s">
        <v>46</v>
      </c>
      <c r="L63">
        <v>2023</v>
      </c>
      <c r="M63">
        <v>192</v>
      </c>
      <c r="N63">
        <v>10</v>
      </c>
      <c r="O63" t="s">
        <v>51</v>
      </c>
      <c r="P63" t="s">
        <v>51</v>
      </c>
      <c r="Q63" t="s">
        <v>54</v>
      </c>
      <c r="R63" t="s">
        <v>51</v>
      </c>
      <c r="S63">
        <v>8</v>
      </c>
      <c r="T63">
        <v>6</v>
      </c>
    </row>
    <row r="64" spans="1:20" x14ac:dyDescent="0.2">
      <c r="A64">
        <v>63</v>
      </c>
      <c r="B64" t="s">
        <v>20</v>
      </c>
      <c r="C64">
        <v>1</v>
      </c>
      <c r="D64">
        <v>6</v>
      </c>
      <c r="E64">
        <v>70</v>
      </c>
      <c r="F64">
        <v>81</v>
      </c>
      <c r="G64">
        <v>105.61</v>
      </c>
      <c r="H64" t="s">
        <v>23</v>
      </c>
      <c r="I64" t="s">
        <v>39</v>
      </c>
      <c r="J64" t="s">
        <v>45</v>
      </c>
      <c r="K64" t="s">
        <v>48</v>
      </c>
      <c r="L64">
        <v>2024</v>
      </c>
      <c r="M64">
        <v>254</v>
      </c>
      <c r="N64">
        <v>10</v>
      </c>
      <c r="O64" t="s">
        <v>51</v>
      </c>
      <c r="P64" t="s">
        <v>51</v>
      </c>
      <c r="Q64" t="s">
        <v>53</v>
      </c>
      <c r="R64" t="s">
        <v>51</v>
      </c>
      <c r="S64">
        <v>10</v>
      </c>
      <c r="T64">
        <v>3</v>
      </c>
    </row>
    <row r="65" spans="1:20" x14ac:dyDescent="0.2">
      <c r="A65">
        <v>64</v>
      </c>
      <c r="B65" t="s">
        <v>20</v>
      </c>
      <c r="C65">
        <v>2</v>
      </c>
      <c r="D65">
        <v>7</v>
      </c>
      <c r="E65">
        <v>60</v>
      </c>
      <c r="F65">
        <v>68</v>
      </c>
      <c r="G65">
        <v>90.12</v>
      </c>
      <c r="H65" t="s">
        <v>32</v>
      </c>
      <c r="I65" t="s">
        <v>43</v>
      </c>
      <c r="J65" t="s">
        <v>45</v>
      </c>
      <c r="K65" t="s">
        <v>46</v>
      </c>
      <c r="L65">
        <v>2016</v>
      </c>
      <c r="M65">
        <v>242</v>
      </c>
      <c r="N65">
        <v>2</v>
      </c>
      <c r="O65" t="s">
        <v>51</v>
      </c>
      <c r="P65" t="s">
        <v>51</v>
      </c>
      <c r="Q65" t="s">
        <v>55</v>
      </c>
      <c r="R65" t="s">
        <v>51</v>
      </c>
      <c r="S65">
        <v>4</v>
      </c>
      <c r="T65">
        <v>4</v>
      </c>
    </row>
    <row r="66" spans="1:20" x14ac:dyDescent="0.2">
      <c r="A66">
        <v>65</v>
      </c>
      <c r="B66" t="s">
        <v>20</v>
      </c>
      <c r="C66">
        <v>1</v>
      </c>
      <c r="D66">
        <v>5</v>
      </c>
      <c r="E66">
        <v>71</v>
      </c>
      <c r="F66">
        <v>20</v>
      </c>
      <c r="G66">
        <v>68.75</v>
      </c>
      <c r="H66" t="s">
        <v>30</v>
      </c>
      <c r="I66" t="s">
        <v>41</v>
      </c>
      <c r="J66" t="s">
        <v>45</v>
      </c>
      <c r="K66" t="s">
        <v>48</v>
      </c>
      <c r="L66">
        <v>2017</v>
      </c>
      <c r="M66">
        <v>188</v>
      </c>
      <c r="N66">
        <v>6</v>
      </c>
      <c r="O66" t="s">
        <v>50</v>
      </c>
      <c r="P66" t="s">
        <v>51</v>
      </c>
      <c r="Q66" t="s">
        <v>52</v>
      </c>
      <c r="R66" t="s">
        <v>51</v>
      </c>
      <c r="S66">
        <v>1</v>
      </c>
      <c r="T66">
        <v>3</v>
      </c>
    </row>
    <row r="67" spans="1:20" x14ac:dyDescent="0.2">
      <c r="A67">
        <v>66</v>
      </c>
      <c r="B67" t="s">
        <v>20</v>
      </c>
      <c r="C67">
        <v>2</v>
      </c>
      <c r="D67">
        <v>5</v>
      </c>
      <c r="E67">
        <v>54</v>
      </c>
      <c r="F67">
        <v>49</v>
      </c>
      <c r="G67">
        <v>137.88999999999999</v>
      </c>
      <c r="H67" t="s">
        <v>24</v>
      </c>
      <c r="I67" t="s">
        <v>40</v>
      </c>
      <c r="J67" t="s">
        <v>45</v>
      </c>
      <c r="K67" t="s">
        <v>48</v>
      </c>
      <c r="L67">
        <v>2018</v>
      </c>
      <c r="M67">
        <v>374</v>
      </c>
      <c r="N67">
        <v>3</v>
      </c>
      <c r="O67" t="s">
        <v>51</v>
      </c>
      <c r="P67" t="s">
        <v>51</v>
      </c>
      <c r="Q67" t="s">
        <v>53</v>
      </c>
      <c r="R67" t="s">
        <v>51</v>
      </c>
      <c r="S67">
        <v>4</v>
      </c>
      <c r="T67">
        <v>3</v>
      </c>
    </row>
    <row r="68" spans="1:20" x14ac:dyDescent="0.2">
      <c r="A68">
        <v>67</v>
      </c>
      <c r="B68" t="s">
        <v>20</v>
      </c>
      <c r="C68">
        <v>1</v>
      </c>
      <c r="D68">
        <v>5</v>
      </c>
      <c r="E68">
        <v>84</v>
      </c>
      <c r="F68">
        <v>34</v>
      </c>
      <c r="G68">
        <v>117.94</v>
      </c>
      <c r="H68" t="s">
        <v>21</v>
      </c>
      <c r="I68" t="s">
        <v>35</v>
      </c>
      <c r="J68" t="s">
        <v>45</v>
      </c>
      <c r="K68" t="s">
        <v>46</v>
      </c>
      <c r="L68">
        <v>2019</v>
      </c>
      <c r="M68">
        <v>336</v>
      </c>
      <c r="N68">
        <v>6</v>
      </c>
      <c r="O68" t="s">
        <v>51</v>
      </c>
      <c r="P68" t="s">
        <v>51</v>
      </c>
      <c r="Q68" t="s">
        <v>55</v>
      </c>
      <c r="R68" t="s">
        <v>51</v>
      </c>
      <c r="S68">
        <v>3</v>
      </c>
      <c r="T68">
        <v>4</v>
      </c>
    </row>
    <row r="69" spans="1:20" x14ac:dyDescent="0.2">
      <c r="A69">
        <v>68</v>
      </c>
      <c r="B69" t="s">
        <v>20</v>
      </c>
      <c r="C69">
        <v>2</v>
      </c>
      <c r="D69">
        <v>6</v>
      </c>
      <c r="E69">
        <v>120</v>
      </c>
      <c r="F69">
        <v>25</v>
      </c>
      <c r="G69">
        <v>103.62</v>
      </c>
      <c r="H69" t="s">
        <v>23</v>
      </c>
      <c r="I69" t="s">
        <v>40</v>
      </c>
      <c r="J69" t="s">
        <v>45</v>
      </c>
      <c r="K69" t="s">
        <v>47</v>
      </c>
      <c r="L69">
        <v>2020</v>
      </c>
      <c r="M69">
        <v>232</v>
      </c>
      <c r="N69">
        <v>4</v>
      </c>
      <c r="O69" t="s">
        <v>51</v>
      </c>
      <c r="P69" t="s">
        <v>51</v>
      </c>
      <c r="Q69" t="s">
        <v>52</v>
      </c>
      <c r="R69" t="s">
        <v>51</v>
      </c>
      <c r="S69">
        <v>0</v>
      </c>
      <c r="T69">
        <v>6</v>
      </c>
    </row>
    <row r="70" spans="1:20" x14ac:dyDescent="0.2">
      <c r="A70">
        <v>69</v>
      </c>
      <c r="B70" t="s">
        <v>20</v>
      </c>
      <c r="C70">
        <v>1</v>
      </c>
      <c r="D70">
        <v>7</v>
      </c>
      <c r="E70">
        <v>107</v>
      </c>
      <c r="F70">
        <v>14</v>
      </c>
      <c r="G70">
        <v>105.24</v>
      </c>
      <c r="H70" t="s">
        <v>21</v>
      </c>
      <c r="I70" t="s">
        <v>43</v>
      </c>
      <c r="J70" t="s">
        <v>45</v>
      </c>
      <c r="K70" t="s">
        <v>47</v>
      </c>
      <c r="L70">
        <v>2021</v>
      </c>
      <c r="M70">
        <v>374</v>
      </c>
      <c r="N70">
        <v>8</v>
      </c>
      <c r="O70" t="s">
        <v>50</v>
      </c>
      <c r="P70" t="s">
        <v>51</v>
      </c>
      <c r="Q70" t="s">
        <v>55</v>
      </c>
      <c r="R70" t="s">
        <v>51</v>
      </c>
      <c r="S70">
        <v>4</v>
      </c>
      <c r="T70">
        <v>4</v>
      </c>
    </row>
    <row r="71" spans="1:20" x14ac:dyDescent="0.2">
      <c r="A71">
        <v>70</v>
      </c>
      <c r="B71" t="s">
        <v>20</v>
      </c>
      <c r="C71">
        <v>2</v>
      </c>
      <c r="D71">
        <v>5</v>
      </c>
      <c r="E71">
        <v>26</v>
      </c>
      <c r="F71">
        <v>22</v>
      </c>
      <c r="G71">
        <v>88.78</v>
      </c>
      <c r="H71" t="s">
        <v>22</v>
      </c>
      <c r="I71" t="s">
        <v>36</v>
      </c>
      <c r="J71" t="s">
        <v>45</v>
      </c>
      <c r="K71" t="s">
        <v>46</v>
      </c>
      <c r="L71">
        <v>2022</v>
      </c>
      <c r="M71">
        <v>288</v>
      </c>
      <c r="N71">
        <v>2</v>
      </c>
      <c r="O71" t="s">
        <v>51</v>
      </c>
      <c r="P71" t="s">
        <v>51</v>
      </c>
      <c r="Q71" t="s">
        <v>52</v>
      </c>
      <c r="R71" t="s">
        <v>51</v>
      </c>
      <c r="S71">
        <v>3</v>
      </c>
      <c r="T71">
        <v>5</v>
      </c>
    </row>
    <row r="72" spans="1:20" x14ac:dyDescent="0.2">
      <c r="A72">
        <v>71</v>
      </c>
      <c r="B72" t="s">
        <v>20</v>
      </c>
      <c r="C72">
        <v>1</v>
      </c>
      <c r="D72">
        <v>7</v>
      </c>
      <c r="E72">
        <v>32</v>
      </c>
      <c r="F72">
        <v>58</v>
      </c>
      <c r="G72">
        <v>65.540000000000006</v>
      </c>
      <c r="H72" t="s">
        <v>26</v>
      </c>
      <c r="I72" t="s">
        <v>42</v>
      </c>
      <c r="J72" t="s">
        <v>45</v>
      </c>
      <c r="K72" t="s">
        <v>48</v>
      </c>
      <c r="L72">
        <v>2023</v>
      </c>
      <c r="M72">
        <v>269</v>
      </c>
      <c r="N72">
        <v>9</v>
      </c>
      <c r="O72" t="s">
        <v>51</v>
      </c>
      <c r="P72" t="s">
        <v>51</v>
      </c>
      <c r="Q72" t="s">
        <v>52</v>
      </c>
      <c r="R72" t="s">
        <v>51</v>
      </c>
      <c r="S72">
        <v>1</v>
      </c>
      <c r="T72">
        <v>0</v>
      </c>
    </row>
    <row r="73" spans="1:20" x14ac:dyDescent="0.2">
      <c r="A73">
        <v>72</v>
      </c>
      <c r="B73" t="s">
        <v>20</v>
      </c>
      <c r="C73">
        <v>2</v>
      </c>
      <c r="D73">
        <v>5</v>
      </c>
      <c r="E73">
        <v>76</v>
      </c>
      <c r="F73">
        <v>15</v>
      </c>
      <c r="G73">
        <v>131.63</v>
      </c>
      <c r="H73" t="s">
        <v>31</v>
      </c>
      <c r="I73" t="s">
        <v>42</v>
      </c>
      <c r="J73" t="s">
        <v>45</v>
      </c>
      <c r="K73" t="s">
        <v>47</v>
      </c>
      <c r="L73">
        <v>2024</v>
      </c>
      <c r="M73">
        <v>332</v>
      </c>
      <c r="N73">
        <v>9</v>
      </c>
      <c r="O73" t="s">
        <v>51</v>
      </c>
      <c r="P73" t="s">
        <v>51</v>
      </c>
      <c r="Q73" t="s">
        <v>52</v>
      </c>
      <c r="R73" t="s">
        <v>51</v>
      </c>
      <c r="S73">
        <v>5</v>
      </c>
      <c r="T73">
        <v>2</v>
      </c>
    </row>
    <row r="74" spans="1:20" x14ac:dyDescent="0.2">
      <c r="A74">
        <v>73</v>
      </c>
      <c r="B74" t="s">
        <v>20</v>
      </c>
      <c r="C74">
        <v>1</v>
      </c>
      <c r="D74">
        <v>5</v>
      </c>
      <c r="E74">
        <v>108</v>
      </c>
      <c r="F74">
        <v>80</v>
      </c>
      <c r="G74">
        <v>126.1</v>
      </c>
      <c r="H74" t="s">
        <v>31</v>
      </c>
      <c r="I74" t="s">
        <v>43</v>
      </c>
      <c r="J74" t="s">
        <v>45</v>
      </c>
      <c r="K74" t="s">
        <v>48</v>
      </c>
      <c r="L74">
        <v>2016</v>
      </c>
      <c r="M74">
        <v>182</v>
      </c>
      <c r="N74">
        <v>6</v>
      </c>
      <c r="O74" t="s">
        <v>50</v>
      </c>
      <c r="P74" t="s">
        <v>50</v>
      </c>
      <c r="Q74" t="s">
        <v>55</v>
      </c>
      <c r="R74" t="s">
        <v>51</v>
      </c>
      <c r="S74">
        <v>8</v>
      </c>
      <c r="T74">
        <v>6</v>
      </c>
    </row>
    <row r="75" spans="1:20" x14ac:dyDescent="0.2">
      <c r="A75">
        <v>74</v>
      </c>
      <c r="B75" t="s">
        <v>20</v>
      </c>
      <c r="C75">
        <v>2</v>
      </c>
      <c r="D75">
        <v>6</v>
      </c>
      <c r="E75">
        <v>83</v>
      </c>
      <c r="F75">
        <v>51</v>
      </c>
      <c r="G75">
        <v>116.92</v>
      </c>
      <c r="H75" t="s">
        <v>23</v>
      </c>
      <c r="I75" t="s">
        <v>37</v>
      </c>
      <c r="J75" t="s">
        <v>45</v>
      </c>
      <c r="K75" t="s">
        <v>48</v>
      </c>
      <c r="L75">
        <v>2017</v>
      </c>
      <c r="M75">
        <v>338</v>
      </c>
      <c r="N75">
        <v>2</v>
      </c>
      <c r="O75" t="s">
        <v>51</v>
      </c>
      <c r="P75" t="s">
        <v>51</v>
      </c>
      <c r="Q75" t="s">
        <v>54</v>
      </c>
      <c r="R75" t="s">
        <v>51</v>
      </c>
      <c r="S75">
        <v>12</v>
      </c>
      <c r="T75">
        <v>6</v>
      </c>
    </row>
    <row r="76" spans="1:20" x14ac:dyDescent="0.2">
      <c r="A76">
        <v>75</v>
      </c>
      <c r="B76" t="s">
        <v>20</v>
      </c>
      <c r="C76">
        <v>1</v>
      </c>
      <c r="D76">
        <v>5</v>
      </c>
      <c r="E76">
        <v>26</v>
      </c>
      <c r="F76">
        <v>6</v>
      </c>
      <c r="G76">
        <v>96.98</v>
      </c>
      <c r="H76" t="s">
        <v>21</v>
      </c>
      <c r="I76" t="s">
        <v>39</v>
      </c>
      <c r="J76" t="s">
        <v>45</v>
      </c>
      <c r="K76" t="s">
        <v>49</v>
      </c>
      <c r="L76">
        <v>2018</v>
      </c>
      <c r="M76">
        <v>209</v>
      </c>
      <c r="N76">
        <v>10</v>
      </c>
      <c r="O76" t="s">
        <v>51</v>
      </c>
      <c r="P76" t="s">
        <v>51</v>
      </c>
      <c r="Q76" t="s">
        <v>55</v>
      </c>
      <c r="R76" t="s">
        <v>51</v>
      </c>
      <c r="S76">
        <v>1</v>
      </c>
      <c r="T76">
        <v>2</v>
      </c>
    </row>
    <row r="77" spans="1:20" x14ac:dyDescent="0.2">
      <c r="A77">
        <v>76</v>
      </c>
      <c r="B77" t="s">
        <v>20</v>
      </c>
      <c r="C77">
        <v>2</v>
      </c>
      <c r="D77">
        <v>6</v>
      </c>
      <c r="E77">
        <v>34</v>
      </c>
      <c r="F77">
        <v>91</v>
      </c>
      <c r="G77">
        <v>78.52</v>
      </c>
      <c r="H77" t="s">
        <v>24</v>
      </c>
      <c r="I77" t="s">
        <v>41</v>
      </c>
      <c r="J77" t="s">
        <v>45</v>
      </c>
      <c r="K77" t="s">
        <v>46</v>
      </c>
      <c r="L77">
        <v>2019</v>
      </c>
      <c r="M77">
        <v>250</v>
      </c>
      <c r="N77">
        <v>4</v>
      </c>
      <c r="O77" t="s">
        <v>51</v>
      </c>
      <c r="P77" t="s">
        <v>51</v>
      </c>
      <c r="Q77" t="s">
        <v>54</v>
      </c>
      <c r="R77" t="s">
        <v>50</v>
      </c>
      <c r="S77">
        <v>6</v>
      </c>
      <c r="T77">
        <v>0</v>
      </c>
    </row>
    <row r="78" spans="1:20" x14ac:dyDescent="0.2">
      <c r="A78">
        <v>77</v>
      </c>
      <c r="B78" t="s">
        <v>20</v>
      </c>
      <c r="C78">
        <v>1</v>
      </c>
      <c r="D78">
        <v>7</v>
      </c>
      <c r="E78">
        <v>87</v>
      </c>
      <c r="F78">
        <v>50</v>
      </c>
      <c r="G78">
        <v>66.05</v>
      </c>
      <c r="H78" t="s">
        <v>21</v>
      </c>
      <c r="I78" t="s">
        <v>41</v>
      </c>
      <c r="J78" t="s">
        <v>45</v>
      </c>
      <c r="K78" t="s">
        <v>48</v>
      </c>
      <c r="L78">
        <v>2020</v>
      </c>
      <c r="M78">
        <v>317</v>
      </c>
      <c r="N78">
        <v>9</v>
      </c>
      <c r="O78" t="s">
        <v>50</v>
      </c>
      <c r="P78" t="s">
        <v>51</v>
      </c>
      <c r="Q78" t="s">
        <v>55</v>
      </c>
      <c r="R78" t="s">
        <v>51</v>
      </c>
      <c r="S78">
        <v>10</v>
      </c>
      <c r="T78">
        <v>4</v>
      </c>
    </row>
    <row r="79" spans="1:20" x14ac:dyDescent="0.2">
      <c r="A79">
        <v>78</v>
      </c>
      <c r="B79" t="s">
        <v>20</v>
      </c>
      <c r="C79">
        <v>2</v>
      </c>
      <c r="D79">
        <v>7</v>
      </c>
      <c r="E79">
        <v>103</v>
      </c>
      <c r="F79">
        <v>92</v>
      </c>
      <c r="G79">
        <v>81.45</v>
      </c>
      <c r="H79" t="s">
        <v>32</v>
      </c>
      <c r="I79" t="s">
        <v>39</v>
      </c>
      <c r="J79" t="s">
        <v>45</v>
      </c>
      <c r="K79" t="s">
        <v>48</v>
      </c>
      <c r="L79">
        <v>2021</v>
      </c>
      <c r="M79">
        <v>182</v>
      </c>
      <c r="N79">
        <v>5</v>
      </c>
      <c r="O79" t="s">
        <v>51</v>
      </c>
      <c r="P79" t="s">
        <v>51</v>
      </c>
      <c r="Q79" t="s">
        <v>55</v>
      </c>
      <c r="R79" t="s">
        <v>51</v>
      </c>
      <c r="S79">
        <v>9</v>
      </c>
      <c r="T79">
        <v>6</v>
      </c>
    </row>
    <row r="80" spans="1:20" x14ac:dyDescent="0.2">
      <c r="A80">
        <v>79</v>
      </c>
      <c r="B80" t="s">
        <v>20</v>
      </c>
      <c r="C80">
        <v>1</v>
      </c>
      <c r="D80">
        <v>5</v>
      </c>
      <c r="E80">
        <v>4</v>
      </c>
      <c r="F80">
        <v>90</v>
      </c>
      <c r="G80">
        <v>134.33000000000001</v>
      </c>
      <c r="H80" t="s">
        <v>25</v>
      </c>
      <c r="I80" t="s">
        <v>41</v>
      </c>
      <c r="J80" t="s">
        <v>45</v>
      </c>
      <c r="K80" t="s">
        <v>49</v>
      </c>
      <c r="L80">
        <v>2022</v>
      </c>
      <c r="M80">
        <v>299</v>
      </c>
      <c r="N80">
        <v>7</v>
      </c>
      <c r="O80" t="s">
        <v>51</v>
      </c>
      <c r="P80" t="s">
        <v>51</v>
      </c>
      <c r="Q80" t="s">
        <v>54</v>
      </c>
      <c r="R80" t="s">
        <v>51</v>
      </c>
      <c r="S80">
        <v>4</v>
      </c>
      <c r="T80">
        <v>4</v>
      </c>
    </row>
    <row r="81" spans="1:20" x14ac:dyDescent="0.2">
      <c r="A81">
        <v>80</v>
      </c>
      <c r="B81" t="s">
        <v>20</v>
      </c>
      <c r="C81">
        <v>2</v>
      </c>
      <c r="D81">
        <v>6</v>
      </c>
      <c r="E81">
        <v>82</v>
      </c>
      <c r="F81">
        <v>69</v>
      </c>
      <c r="G81">
        <v>81.8</v>
      </c>
      <c r="H81" t="s">
        <v>23</v>
      </c>
      <c r="I81" t="s">
        <v>41</v>
      </c>
      <c r="J81" t="s">
        <v>45</v>
      </c>
      <c r="K81" t="s">
        <v>48</v>
      </c>
      <c r="L81">
        <v>2023</v>
      </c>
      <c r="M81">
        <v>195</v>
      </c>
      <c r="N81">
        <v>2</v>
      </c>
      <c r="O81" t="s">
        <v>51</v>
      </c>
      <c r="P81" t="s">
        <v>51</v>
      </c>
      <c r="Q81" t="s">
        <v>54</v>
      </c>
      <c r="R81" t="s">
        <v>51</v>
      </c>
      <c r="S81">
        <v>4</v>
      </c>
      <c r="T81">
        <v>2</v>
      </c>
    </row>
    <row r="82" spans="1:20" x14ac:dyDescent="0.2">
      <c r="A82">
        <v>81</v>
      </c>
      <c r="B82" t="s">
        <v>20</v>
      </c>
      <c r="C82">
        <v>1</v>
      </c>
      <c r="D82">
        <v>6</v>
      </c>
      <c r="E82">
        <v>83</v>
      </c>
      <c r="F82">
        <v>81</v>
      </c>
      <c r="G82">
        <v>123.51</v>
      </c>
      <c r="H82" t="s">
        <v>32</v>
      </c>
      <c r="I82" t="s">
        <v>41</v>
      </c>
      <c r="J82" t="s">
        <v>45</v>
      </c>
      <c r="K82" t="s">
        <v>48</v>
      </c>
      <c r="L82">
        <v>2024</v>
      </c>
      <c r="M82">
        <v>203</v>
      </c>
      <c r="N82">
        <v>9</v>
      </c>
      <c r="O82" t="s">
        <v>50</v>
      </c>
      <c r="P82" t="s">
        <v>51</v>
      </c>
      <c r="Q82" t="s">
        <v>52</v>
      </c>
      <c r="R82" t="s">
        <v>51</v>
      </c>
      <c r="S82">
        <v>0</v>
      </c>
      <c r="T82">
        <v>4</v>
      </c>
    </row>
    <row r="83" spans="1:20" x14ac:dyDescent="0.2">
      <c r="A83">
        <v>82</v>
      </c>
      <c r="B83" t="s">
        <v>20</v>
      </c>
      <c r="C83">
        <v>2</v>
      </c>
      <c r="D83">
        <v>5</v>
      </c>
      <c r="E83">
        <v>22</v>
      </c>
      <c r="F83">
        <v>29</v>
      </c>
      <c r="G83">
        <v>112.21</v>
      </c>
      <c r="H83" t="s">
        <v>34</v>
      </c>
      <c r="I83" t="s">
        <v>40</v>
      </c>
      <c r="J83" t="s">
        <v>45</v>
      </c>
      <c r="K83" t="s">
        <v>47</v>
      </c>
      <c r="L83">
        <v>2016</v>
      </c>
      <c r="M83">
        <v>180</v>
      </c>
      <c r="N83">
        <v>3</v>
      </c>
      <c r="O83" t="s">
        <v>51</v>
      </c>
      <c r="P83" t="s">
        <v>51</v>
      </c>
      <c r="Q83" t="s">
        <v>54</v>
      </c>
      <c r="R83" t="s">
        <v>51</v>
      </c>
      <c r="S83">
        <v>5</v>
      </c>
      <c r="T83">
        <v>0</v>
      </c>
    </row>
    <row r="84" spans="1:20" x14ac:dyDescent="0.2">
      <c r="A84">
        <v>83</v>
      </c>
      <c r="B84" t="s">
        <v>20</v>
      </c>
      <c r="C84">
        <v>1</v>
      </c>
      <c r="D84">
        <v>7</v>
      </c>
      <c r="E84">
        <v>19</v>
      </c>
      <c r="F84">
        <v>23</v>
      </c>
      <c r="G84">
        <v>97.99</v>
      </c>
      <c r="H84" t="s">
        <v>26</v>
      </c>
      <c r="I84" t="s">
        <v>39</v>
      </c>
      <c r="J84" t="s">
        <v>45</v>
      </c>
      <c r="K84" t="s">
        <v>49</v>
      </c>
      <c r="L84">
        <v>2017</v>
      </c>
      <c r="M84">
        <v>186</v>
      </c>
      <c r="N84">
        <v>2</v>
      </c>
      <c r="O84" t="s">
        <v>51</v>
      </c>
      <c r="P84" t="s">
        <v>51</v>
      </c>
      <c r="Q84" t="s">
        <v>53</v>
      </c>
      <c r="R84" t="s">
        <v>51</v>
      </c>
      <c r="S84">
        <v>2</v>
      </c>
      <c r="T84">
        <v>0</v>
      </c>
    </row>
    <row r="85" spans="1:20" x14ac:dyDescent="0.2">
      <c r="A85">
        <v>84</v>
      </c>
      <c r="B85" t="s">
        <v>20</v>
      </c>
      <c r="C85">
        <v>2</v>
      </c>
      <c r="D85">
        <v>6</v>
      </c>
      <c r="E85">
        <v>39</v>
      </c>
      <c r="F85">
        <v>8</v>
      </c>
      <c r="G85">
        <v>141.03</v>
      </c>
      <c r="H85" t="s">
        <v>31</v>
      </c>
      <c r="I85" t="s">
        <v>40</v>
      </c>
      <c r="J85" t="s">
        <v>45</v>
      </c>
      <c r="K85" t="s">
        <v>48</v>
      </c>
      <c r="L85">
        <v>2018</v>
      </c>
      <c r="M85">
        <v>300</v>
      </c>
      <c r="N85">
        <v>3</v>
      </c>
      <c r="O85" t="s">
        <v>51</v>
      </c>
      <c r="P85" t="s">
        <v>51</v>
      </c>
      <c r="Q85" t="s">
        <v>53</v>
      </c>
      <c r="R85" t="s">
        <v>51</v>
      </c>
      <c r="S85">
        <v>10</v>
      </c>
      <c r="T85">
        <v>3</v>
      </c>
    </row>
    <row r="86" spans="1:20" x14ac:dyDescent="0.2">
      <c r="A86">
        <v>85</v>
      </c>
      <c r="B86" t="s">
        <v>20</v>
      </c>
      <c r="C86">
        <v>1</v>
      </c>
      <c r="D86">
        <v>5</v>
      </c>
      <c r="E86">
        <v>120</v>
      </c>
      <c r="F86">
        <v>61</v>
      </c>
      <c r="G86">
        <v>113.74</v>
      </c>
      <c r="H86" t="s">
        <v>23</v>
      </c>
      <c r="I86" t="s">
        <v>44</v>
      </c>
      <c r="J86" t="s">
        <v>45</v>
      </c>
      <c r="K86" t="s">
        <v>46</v>
      </c>
      <c r="L86">
        <v>2019</v>
      </c>
      <c r="M86">
        <v>350</v>
      </c>
      <c r="N86">
        <v>9</v>
      </c>
      <c r="O86" t="s">
        <v>50</v>
      </c>
      <c r="P86" t="s">
        <v>50</v>
      </c>
      <c r="Q86" t="s">
        <v>54</v>
      </c>
      <c r="R86" t="s">
        <v>51</v>
      </c>
      <c r="S86">
        <v>10</v>
      </c>
      <c r="T86">
        <v>0</v>
      </c>
    </row>
    <row r="87" spans="1:20" x14ac:dyDescent="0.2">
      <c r="A87">
        <v>86</v>
      </c>
      <c r="B87" t="s">
        <v>20</v>
      </c>
      <c r="C87">
        <v>2</v>
      </c>
      <c r="D87">
        <v>7</v>
      </c>
      <c r="E87">
        <v>102</v>
      </c>
      <c r="F87">
        <v>8</v>
      </c>
      <c r="G87">
        <v>65.67</v>
      </c>
      <c r="H87" t="s">
        <v>29</v>
      </c>
      <c r="I87" t="s">
        <v>43</v>
      </c>
      <c r="J87" t="s">
        <v>45</v>
      </c>
      <c r="K87" t="s">
        <v>47</v>
      </c>
      <c r="L87">
        <v>2020</v>
      </c>
      <c r="M87">
        <v>199</v>
      </c>
      <c r="N87">
        <v>9</v>
      </c>
      <c r="O87" t="s">
        <v>51</v>
      </c>
      <c r="P87" t="s">
        <v>51</v>
      </c>
      <c r="Q87" t="s">
        <v>52</v>
      </c>
      <c r="R87" t="s">
        <v>51</v>
      </c>
      <c r="S87">
        <v>6</v>
      </c>
      <c r="T87">
        <v>0</v>
      </c>
    </row>
    <row r="88" spans="1:20" x14ac:dyDescent="0.2">
      <c r="A88">
        <v>87</v>
      </c>
      <c r="B88" t="s">
        <v>20</v>
      </c>
      <c r="C88">
        <v>1</v>
      </c>
      <c r="D88">
        <v>5</v>
      </c>
      <c r="E88">
        <v>20</v>
      </c>
      <c r="F88">
        <v>33</v>
      </c>
      <c r="G88">
        <v>127.97</v>
      </c>
      <c r="H88" t="s">
        <v>30</v>
      </c>
      <c r="I88" t="s">
        <v>44</v>
      </c>
      <c r="J88" t="s">
        <v>45</v>
      </c>
      <c r="K88" t="s">
        <v>48</v>
      </c>
      <c r="L88">
        <v>2021</v>
      </c>
      <c r="M88">
        <v>245</v>
      </c>
      <c r="N88">
        <v>10</v>
      </c>
      <c r="O88" t="s">
        <v>51</v>
      </c>
      <c r="P88" t="s">
        <v>51</v>
      </c>
      <c r="Q88" t="s">
        <v>55</v>
      </c>
      <c r="R88" t="s">
        <v>51</v>
      </c>
      <c r="S88">
        <v>8</v>
      </c>
      <c r="T88">
        <v>0</v>
      </c>
    </row>
    <row r="89" spans="1:20" x14ac:dyDescent="0.2">
      <c r="A89">
        <v>88</v>
      </c>
      <c r="B89" t="s">
        <v>20</v>
      </c>
      <c r="C89">
        <v>2</v>
      </c>
      <c r="D89">
        <v>7</v>
      </c>
      <c r="E89">
        <v>34</v>
      </c>
      <c r="F89">
        <v>15</v>
      </c>
      <c r="G89">
        <v>67.739999999999995</v>
      </c>
      <c r="H89" t="s">
        <v>29</v>
      </c>
      <c r="I89" t="s">
        <v>42</v>
      </c>
      <c r="J89" t="s">
        <v>45</v>
      </c>
      <c r="K89" t="s">
        <v>49</v>
      </c>
      <c r="L89">
        <v>2022</v>
      </c>
      <c r="M89">
        <v>341</v>
      </c>
      <c r="N89">
        <v>6</v>
      </c>
      <c r="O89" t="s">
        <v>51</v>
      </c>
      <c r="P89" t="s">
        <v>51</v>
      </c>
      <c r="Q89" t="s">
        <v>54</v>
      </c>
      <c r="R89" t="s">
        <v>51</v>
      </c>
      <c r="S89">
        <v>2</v>
      </c>
      <c r="T89">
        <v>1</v>
      </c>
    </row>
    <row r="90" spans="1:20" x14ac:dyDescent="0.2">
      <c r="A90">
        <v>89</v>
      </c>
      <c r="B90" t="s">
        <v>20</v>
      </c>
      <c r="C90">
        <v>1</v>
      </c>
      <c r="D90">
        <v>7</v>
      </c>
      <c r="E90">
        <v>112</v>
      </c>
      <c r="F90">
        <v>96</v>
      </c>
      <c r="G90">
        <v>87.78</v>
      </c>
      <c r="H90" t="s">
        <v>28</v>
      </c>
      <c r="I90" t="s">
        <v>42</v>
      </c>
      <c r="J90" t="s">
        <v>45</v>
      </c>
      <c r="K90" t="s">
        <v>47</v>
      </c>
      <c r="L90">
        <v>2023</v>
      </c>
      <c r="M90">
        <v>282</v>
      </c>
      <c r="N90">
        <v>2</v>
      </c>
      <c r="O90" t="s">
        <v>50</v>
      </c>
      <c r="P90" t="s">
        <v>51</v>
      </c>
      <c r="Q90" t="s">
        <v>54</v>
      </c>
      <c r="R90" t="s">
        <v>51</v>
      </c>
      <c r="S90">
        <v>12</v>
      </c>
      <c r="T90">
        <v>6</v>
      </c>
    </row>
    <row r="91" spans="1:20" x14ac:dyDescent="0.2">
      <c r="A91">
        <v>90</v>
      </c>
      <c r="B91" t="s">
        <v>20</v>
      </c>
      <c r="C91">
        <v>2</v>
      </c>
      <c r="D91">
        <v>5</v>
      </c>
      <c r="E91">
        <v>119</v>
      </c>
      <c r="F91">
        <v>59</v>
      </c>
      <c r="G91">
        <v>87.2</v>
      </c>
      <c r="H91" t="s">
        <v>22</v>
      </c>
      <c r="I91" t="s">
        <v>38</v>
      </c>
      <c r="J91" t="s">
        <v>45</v>
      </c>
      <c r="K91" t="s">
        <v>48</v>
      </c>
      <c r="L91">
        <v>2024</v>
      </c>
      <c r="M91">
        <v>366</v>
      </c>
      <c r="N91">
        <v>5</v>
      </c>
      <c r="O91" t="s">
        <v>51</v>
      </c>
      <c r="P91" t="s">
        <v>51</v>
      </c>
      <c r="Q91" t="s">
        <v>53</v>
      </c>
      <c r="R91" t="s">
        <v>51</v>
      </c>
      <c r="S91">
        <v>7</v>
      </c>
      <c r="T91">
        <v>2</v>
      </c>
    </row>
    <row r="92" spans="1:20" x14ac:dyDescent="0.2">
      <c r="A92">
        <v>91</v>
      </c>
      <c r="B92" t="s">
        <v>20</v>
      </c>
      <c r="C92">
        <v>1</v>
      </c>
      <c r="D92">
        <v>6</v>
      </c>
      <c r="E92">
        <v>17</v>
      </c>
      <c r="F92">
        <v>90</v>
      </c>
      <c r="G92">
        <v>100.32</v>
      </c>
      <c r="H92" t="s">
        <v>23</v>
      </c>
      <c r="I92" t="s">
        <v>39</v>
      </c>
      <c r="J92" t="s">
        <v>45</v>
      </c>
      <c r="K92" t="s">
        <v>47</v>
      </c>
      <c r="L92">
        <v>2016</v>
      </c>
      <c r="M92">
        <v>263</v>
      </c>
      <c r="N92">
        <v>2</v>
      </c>
      <c r="O92" t="s">
        <v>51</v>
      </c>
      <c r="P92" t="s">
        <v>51</v>
      </c>
      <c r="Q92" t="s">
        <v>54</v>
      </c>
      <c r="R92" t="s">
        <v>51</v>
      </c>
      <c r="S92">
        <v>6</v>
      </c>
      <c r="T92">
        <v>2</v>
      </c>
    </row>
    <row r="93" spans="1:20" x14ac:dyDescent="0.2">
      <c r="A93">
        <v>92</v>
      </c>
      <c r="B93" t="s">
        <v>20</v>
      </c>
      <c r="C93">
        <v>2</v>
      </c>
      <c r="D93">
        <v>6</v>
      </c>
      <c r="E93">
        <v>50</v>
      </c>
      <c r="F93">
        <v>37</v>
      </c>
      <c r="G93">
        <v>70.16</v>
      </c>
      <c r="H93" t="s">
        <v>21</v>
      </c>
      <c r="I93" t="s">
        <v>37</v>
      </c>
      <c r="J93" t="s">
        <v>45</v>
      </c>
      <c r="K93" t="s">
        <v>49</v>
      </c>
      <c r="L93">
        <v>2017</v>
      </c>
      <c r="M93">
        <v>319</v>
      </c>
      <c r="N93">
        <v>7</v>
      </c>
      <c r="O93" t="s">
        <v>51</v>
      </c>
      <c r="P93" t="s">
        <v>51</v>
      </c>
      <c r="Q93" t="s">
        <v>52</v>
      </c>
      <c r="R93" t="s">
        <v>51</v>
      </c>
      <c r="S93">
        <v>9</v>
      </c>
      <c r="T93">
        <v>6</v>
      </c>
    </row>
    <row r="94" spans="1:20" x14ac:dyDescent="0.2">
      <c r="A94">
        <v>93</v>
      </c>
      <c r="B94" t="s">
        <v>20</v>
      </c>
      <c r="C94">
        <v>1</v>
      </c>
      <c r="D94">
        <v>6</v>
      </c>
      <c r="E94">
        <v>73</v>
      </c>
      <c r="F94">
        <v>44</v>
      </c>
      <c r="G94">
        <v>111.03</v>
      </c>
      <c r="H94" t="s">
        <v>29</v>
      </c>
      <c r="I94" t="s">
        <v>43</v>
      </c>
      <c r="J94" t="s">
        <v>45</v>
      </c>
      <c r="K94" t="s">
        <v>48</v>
      </c>
      <c r="L94">
        <v>2018</v>
      </c>
      <c r="M94">
        <v>302</v>
      </c>
      <c r="N94">
        <v>10</v>
      </c>
      <c r="O94" t="s">
        <v>50</v>
      </c>
      <c r="P94" t="s">
        <v>51</v>
      </c>
      <c r="Q94" t="s">
        <v>54</v>
      </c>
      <c r="R94" t="s">
        <v>51</v>
      </c>
      <c r="S94">
        <v>1</v>
      </c>
      <c r="T94">
        <v>3</v>
      </c>
    </row>
    <row r="95" spans="1:20" x14ac:dyDescent="0.2">
      <c r="A95">
        <v>94</v>
      </c>
      <c r="B95" t="s">
        <v>20</v>
      </c>
      <c r="C95">
        <v>2</v>
      </c>
      <c r="D95">
        <v>5</v>
      </c>
      <c r="E95">
        <v>50</v>
      </c>
      <c r="F95">
        <v>45</v>
      </c>
      <c r="G95">
        <v>131.44</v>
      </c>
      <c r="H95" t="s">
        <v>27</v>
      </c>
      <c r="I95" t="s">
        <v>44</v>
      </c>
      <c r="J95" t="s">
        <v>45</v>
      </c>
      <c r="K95" t="s">
        <v>47</v>
      </c>
      <c r="L95">
        <v>2019</v>
      </c>
      <c r="M95">
        <v>278</v>
      </c>
      <c r="N95">
        <v>4</v>
      </c>
      <c r="O95" t="s">
        <v>51</v>
      </c>
      <c r="P95" t="s">
        <v>51</v>
      </c>
      <c r="Q95" t="s">
        <v>52</v>
      </c>
      <c r="R95" t="s">
        <v>51</v>
      </c>
      <c r="S95">
        <v>5</v>
      </c>
      <c r="T95">
        <v>2</v>
      </c>
    </row>
    <row r="96" spans="1:20" x14ac:dyDescent="0.2">
      <c r="A96" s="2">
        <f>A95+1</f>
        <v>95</v>
      </c>
      <c r="B96" s="2" t="s">
        <v>56</v>
      </c>
      <c r="C96" s="2">
        <v>1</v>
      </c>
      <c r="D96" s="2">
        <v>7</v>
      </c>
      <c r="E96" s="2">
        <v>52</v>
      </c>
      <c r="F96" s="2">
        <v>34</v>
      </c>
      <c r="G96" s="2">
        <v>50.52</v>
      </c>
      <c r="H96" s="2" t="s">
        <v>24</v>
      </c>
      <c r="I96" s="2" t="s">
        <v>35</v>
      </c>
      <c r="J96" s="2" t="s">
        <v>45</v>
      </c>
      <c r="K96" s="2" t="s">
        <v>57</v>
      </c>
      <c r="L96" s="2">
        <v>2017</v>
      </c>
      <c r="M96" s="2">
        <v>337</v>
      </c>
      <c r="N96" s="2">
        <v>9</v>
      </c>
      <c r="O96" s="2" t="s">
        <v>50</v>
      </c>
      <c r="P96" s="2" t="s">
        <v>50</v>
      </c>
      <c r="Q96" s="2" t="s">
        <v>58</v>
      </c>
      <c r="R96" s="2" t="s">
        <v>51</v>
      </c>
      <c r="S96" s="2">
        <v>14</v>
      </c>
      <c r="T96" s="2">
        <v>0</v>
      </c>
    </row>
    <row r="97" spans="1:20" x14ac:dyDescent="0.2">
      <c r="A97" s="2">
        <f t="shared" ref="A97:A160" si="0">A96+1</f>
        <v>96</v>
      </c>
      <c r="B97" s="2" t="s">
        <v>56</v>
      </c>
      <c r="C97" s="2">
        <v>2</v>
      </c>
      <c r="D97" s="2">
        <v>8</v>
      </c>
      <c r="E97" s="2">
        <v>54</v>
      </c>
      <c r="F97" s="2">
        <v>115</v>
      </c>
      <c r="G97" s="2">
        <v>65.959999999999994</v>
      </c>
      <c r="H97" s="2" t="s">
        <v>26</v>
      </c>
      <c r="I97" s="2" t="s">
        <v>35</v>
      </c>
      <c r="J97" s="2" t="s">
        <v>45</v>
      </c>
      <c r="K97" s="2" t="s">
        <v>59</v>
      </c>
      <c r="L97" s="2">
        <v>2018</v>
      </c>
      <c r="M97" s="2">
        <v>539</v>
      </c>
      <c r="N97" s="2">
        <v>4</v>
      </c>
      <c r="O97" s="2" t="s">
        <v>51</v>
      </c>
      <c r="P97" s="2" t="s">
        <v>51</v>
      </c>
      <c r="Q97" s="2" t="s">
        <v>58</v>
      </c>
      <c r="R97" s="2" t="s">
        <v>51</v>
      </c>
      <c r="S97" s="2">
        <v>4</v>
      </c>
      <c r="T97" s="2">
        <v>5</v>
      </c>
    </row>
    <row r="98" spans="1:20" x14ac:dyDescent="0.2">
      <c r="A98" s="2">
        <f t="shared" si="0"/>
        <v>97</v>
      </c>
      <c r="B98" s="2" t="s">
        <v>56</v>
      </c>
      <c r="C98" s="2">
        <v>1</v>
      </c>
      <c r="D98" s="2">
        <v>8</v>
      </c>
      <c r="E98" s="2">
        <v>4</v>
      </c>
      <c r="F98" s="2">
        <v>186</v>
      </c>
      <c r="G98" s="2">
        <v>32.32</v>
      </c>
      <c r="H98" s="2" t="s">
        <v>24</v>
      </c>
      <c r="I98" s="2" t="s">
        <v>38</v>
      </c>
      <c r="J98" s="2" t="s">
        <v>45</v>
      </c>
      <c r="K98" s="2" t="s">
        <v>60</v>
      </c>
      <c r="L98" s="2">
        <v>2019</v>
      </c>
      <c r="M98" s="2">
        <v>580</v>
      </c>
      <c r="N98" s="2">
        <v>4</v>
      </c>
      <c r="O98" s="2" t="s">
        <v>51</v>
      </c>
      <c r="P98" s="2" t="s">
        <v>51</v>
      </c>
      <c r="Q98" s="2" t="s">
        <v>58</v>
      </c>
      <c r="R98" s="2" t="s">
        <v>51</v>
      </c>
      <c r="S98" s="2">
        <v>10</v>
      </c>
      <c r="T98" s="2">
        <v>0</v>
      </c>
    </row>
    <row r="99" spans="1:20" x14ac:dyDescent="0.2">
      <c r="A99" s="2">
        <f t="shared" si="0"/>
        <v>98</v>
      </c>
      <c r="B99" s="2" t="s">
        <v>56</v>
      </c>
      <c r="C99" s="2">
        <v>2</v>
      </c>
      <c r="D99" s="2">
        <v>7</v>
      </c>
      <c r="E99" s="2">
        <v>26</v>
      </c>
      <c r="F99" s="2">
        <v>62</v>
      </c>
      <c r="G99" s="2">
        <v>62.43</v>
      </c>
      <c r="H99" s="2" t="s">
        <v>27</v>
      </c>
      <c r="I99" s="2" t="s">
        <v>35</v>
      </c>
      <c r="J99" s="2" t="s">
        <v>45</v>
      </c>
      <c r="K99" s="2" t="s">
        <v>57</v>
      </c>
      <c r="L99" s="2">
        <v>2020</v>
      </c>
      <c r="M99" s="2">
        <v>550</v>
      </c>
      <c r="N99" s="2">
        <v>4</v>
      </c>
      <c r="O99" s="2" t="s">
        <v>50</v>
      </c>
      <c r="P99" s="2" t="s">
        <v>51</v>
      </c>
      <c r="Q99" s="2" t="s">
        <v>54</v>
      </c>
      <c r="R99" s="2" t="s">
        <v>51</v>
      </c>
      <c r="S99" s="2">
        <v>9</v>
      </c>
      <c r="T99" s="2">
        <v>0</v>
      </c>
    </row>
    <row r="100" spans="1:20" x14ac:dyDescent="0.2">
      <c r="A100" s="2">
        <f t="shared" si="0"/>
        <v>99</v>
      </c>
      <c r="B100" s="2" t="s">
        <v>56</v>
      </c>
      <c r="C100" s="2">
        <v>1</v>
      </c>
      <c r="D100" s="2">
        <v>8</v>
      </c>
      <c r="E100" s="2">
        <v>98</v>
      </c>
      <c r="F100" s="2">
        <v>108</v>
      </c>
      <c r="G100" s="2">
        <v>78.63</v>
      </c>
      <c r="H100" s="2" t="s">
        <v>31</v>
      </c>
      <c r="I100" s="2" t="s">
        <v>44</v>
      </c>
      <c r="J100" s="2" t="s">
        <v>45</v>
      </c>
      <c r="K100" s="2" t="s">
        <v>61</v>
      </c>
      <c r="L100" s="2">
        <v>2021</v>
      </c>
      <c r="M100" s="2">
        <v>595</v>
      </c>
      <c r="N100" s="2">
        <v>9</v>
      </c>
      <c r="O100" s="2" t="s">
        <v>51</v>
      </c>
      <c r="P100" s="2" t="s">
        <v>51</v>
      </c>
      <c r="Q100" s="2" t="s">
        <v>54</v>
      </c>
      <c r="R100" s="2" t="s">
        <v>51</v>
      </c>
      <c r="S100" s="2">
        <v>8</v>
      </c>
      <c r="T100" s="2">
        <v>2</v>
      </c>
    </row>
    <row r="101" spans="1:20" x14ac:dyDescent="0.2">
      <c r="A101" s="2">
        <f t="shared" si="0"/>
        <v>100</v>
      </c>
      <c r="B101" s="2" t="s">
        <v>56</v>
      </c>
      <c r="C101" s="2">
        <v>2</v>
      </c>
      <c r="D101" s="2">
        <v>5</v>
      </c>
      <c r="E101" s="2">
        <v>53</v>
      </c>
      <c r="F101" s="2">
        <v>36</v>
      </c>
      <c r="G101" s="2">
        <v>52.17</v>
      </c>
      <c r="H101" s="2" t="s">
        <v>22</v>
      </c>
      <c r="I101" s="2" t="s">
        <v>37</v>
      </c>
      <c r="J101" s="2" t="s">
        <v>45</v>
      </c>
      <c r="K101" s="2" t="s">
        <v>60</v>
      </c>
      <c r="L101" s="2">
        <v>2017</v>
      </c>
      <c r="M101" s="2">
        <v>307</v>
      </c>
      <c r="N101" s="2">
        <v>6</v>
      </c>
      <c r="O101" s="2" t="s">
        <v>51</v>
      </c>
      <c r="P101" s="2" t="s">
        <v>50</v>
      </c>
      <c r="Q101" s="2" t="s">
        <v>54</v>
      </c>
      <c r="R101" s="2" t="s">
        <v>51</v>
      </c>
      <c r="S101" s="2">
        <v>1</v>
      </c>
      <c r="T101" s="2">
        <v>3</v>
      </c>
    </row>
    <row r="102" spans="1:20" x14ac:dyDescent="0.2">
      <c r="A102" s="2">
        <f t="shared" si="0"/>
        <v>101</v>
      </c>
      <c r="B102" s="2" t="s">
        <v>56</v>
      </c>
      <c r="C102" s="2">
        <v>1</v>
      </c>
      <c r="D102" s="2">
        <v>7</v>
      </c>
      <c r="E102" s="2">
        <v>72</v>
      </c>
      <c r="F102" s="2">
        <v>35</v>
      </c>
      <c r="G102" s="2">
        <v>85.72</v>
      </c>
      <c r="H102" s="2" t="s">
        <v>24</v>
      </c>
      <c r="I102" s="2" t="s">
        <v>43</v>
      </c>
      <c r="J102" s="2" t="s">
        <v>45</v>
      </c>
      <c r="K102" s="2" t="s">
        <v>59</v>
      </c>
      <c r="L102" s="2">
        <v>2018</v>
      </c>
      <c r="M102" s="2">
        <v>565</v>
      </c>
      <c r="N102" s="2">
        <v>6</v>
      </c>
      <c r="O102" s="2" t="s">
        <v>50</v>
      </c>
      <c r="P102" s="2" t="s">
        <v>51</v>
      </c>
      <c r="Q102" s="2" t="s">
        <v>58</v>
      </c>
      <c r="R102" s="2" t="s">
        <v>51</v>
      </c>
      <c r="S102" s="2">
        <v>7</v>
      </c>
      <c r="T102" s="2">
        <v>4</v>
      </c>
    </row>
    <row r="103" spans="1:20" x14ac:dyDescent="0.2">
      <c r="A103" s="2">
        <f t="shared" si="0"/>
        <v>102</v>
      </c>
      <c r="B103" s="2" t="s">
        <v>56</v>
      </c>
      <c r="C103" s="2">
        <v>2</v>
      </c>
      <c r="D103" s="2">
        <v>8</v>
      </c>
      <c r="E103" s="2">
        <v>52</v>
      </c>
      <c r="F103" s="2">
        <v>150</v>
      </c>
      <c r="G103" s="2">
        <v>32.21</v>
      </c>
      <c r="H103" s="2" t="s">
        <v>30</v>
      </c>
      <c r="I103" s="2" t="s">
        <v>37</v>
      </c>
      <c r="J103" s="2" t="s">
        <v>45</v>
      </c>
      <c r="K103" s="2" t="s">
        <v>57</v>
      </c>
      <c r="L103" s="2">
        <v>2019</v>
      </c>
      <c r="M103" s="2">
        <v>438</v>
      </c>
      <c r="N103" s="2">
        <v>9</v>
      </c>
      <c r="O103" s="2" t="s">
        <v>51</v>
      </c>
      <c r="P103" s="2" t="s">
        <v>51</v>
      </c>
      <c r="Q103" s="2" t="s">
        <v>55</v>
      </c>
      <c r="R103" s="2" t="s">
        <v>51</v>
      </c>
      <c r="S103" s="2">
        <v>6</v>
      </c>
      <c r="T103" s="2">
        <v>3</v>
      </c>
    </row>
    <row r="104" spans="1:20" x14ac:dyDescent="0.2">
      <c r="A104" s="2">
        <f t="shared" si="0"/>
        <v>103</v>
      </c>
      <c r="B104" s="2" t="s">
        <v>56</v>
      </c>
      <c r="C104" s="2">
        <v>1</v>
      </c>
      <c r="D104" s="2">
        <v>7</v>
      </c>
      <c r="E104" s="2">
        <v>51</v>
      </c>
      <c r="F104" s="2">
        <v>14</v>
      </c>
      <c r="G104" s="2">
        <v>48.6</v>
      </c>
      <c r="H104" s="2" t="s">
        <v>30</v>
      </c>
      <c r="I104" s="2" t="s">
        <v>35</v>
      </c>
      <c r="J104" s="2" t="s">
        <v>45</v>
      </c>
      <c r="K104" s="2" t="s">
        <v>60</v>
      </c>
      <c r="L104" s="2">
        <v>2020</v>
      </c>
      <c r="M104" s="2">
        <v>335</v>
      </c>
      <c r="N104" s="2">
        <v>5</v>
      </c>
      <c r="O104" s="2" t="s">
        <v>51</v>
      </c>
      <c r="P104" s="2" t="s">
        <v>51</v>
      </c>
      <c r="Q104" s="2" t="s">
        <v>58</v>
      </c>
      <c r="R104" s="2" t="s">
        <v>51</v>
      </c>
      <c r="S104" s="2">
        <v>5</v>
      </c>
      <c r="T104" s="2">
        <v>0</v>
      </c>
    </row>
    <row r="105" spans="1:20" x14ac:dyDescent="0.2">
      <c r="A105" s="2">
        <f t="shared" si="0"/>
        <v>104</v>
      </c>
      <c r="B105" s="2" t="s">
        <v>56</v>
      </c>
      <c r="C105" s="2">
        <v>2</v>
      </c>
      <c r="D105" s="2">
        <v>6</v>
      </c>
      <c r="E105" s="2">
        <v>14</v>
      </c>
      <c r="F105" s="2">
        <v>171</v>
      </c>
      <c r="G105" s="2">
        <v>80.11</v>
      </c>
      <c r="H105" s="2" t="s">
        <v>23</v>
      </c>
      <c r="I105" s="2" t="s">
        <v>44</v>
      </c>
      <c r="J105" s="2" t="s">
        <v>45</v>
      </c>
      <c r="K105" s="2" t="s">
        <v>59</v>
      </c>
      <c r="L105" s="2">
        <v>2021</v>
      </c>
      <c r="M105" s="2">
        <v>217</v>
      </c>
      <c r="N105" s="2">
        <v>5</v>
      </c>
      <c r="O105" s="2" t="s">
        <v>50</v>
      </c>
      <c r="P105" s="2" t="s">
        <v>51</v>
      </c>
      <c r="Q105" s="2" t="s">
        <v>58</v>
      </c>
      <c r="R105" s="2" t="s">
        <v>51</v>
      </c>
      <c r="S105" s="2">
        <v>5</v>
      </c>
      <c r="T105" s="2">
        <v>4</v>
      </c>
    </row>
    <row r="106" spans="1:20" x14ac:dyDescent="0.2">
      <c r="A106" s="2">
        <f t="shared" si="0"/>
        <v>105</v>
      </c>
      <c r="B106" s="2" t="s">
        <v>56</v>
      </c>
      <c r="C106" s="2">
        <v>1</v>
      </c>
      <c r="D106" s="2">
        <v>8</v>
      </c>
      <c r="E106" s="2">
        <v>66</v>
      </c>
      <c r="F106" s="2">
        <v>56</v>
      </c>
      <c r="G106" s="2">
        <v>59.29</v>
      </c>
      <c r="H106" s="2" t="s">
        <v>22</v>
      </c>
      <c r="I106" s="2" t="s">
        <v>39</v>
      </c>
      <c r="J106" s="2" t="s">
        <v>45</v>
      </c>
      <c r="K106" s="2" t="s">
        <v>61</v>
      </c>
      <c r="L106" s="2">
        <v>2017</v>
      </c>
      <c r="M106" s="2">
        <v>468</v>
      </c>
      <c r="N106" s="2">
        <v>10</v>
      </c>
      <c r="O106" s="2" t="s">
        <v>51</v>
      </c>
      <c r="P106" s="2" t="s">
        <v>50</v>
      </c>
      <c r="Q106" s="2" t="s">
        <v>55</v>
      </c>
      <c r="R106" s="2" t="s">
        <v>51</v>
      </c>
      <c r="S106" s="2">
        <v>14</v>
      </c>
      <c r="T106" s="2">
        <v>2</v>
      </c>
    </row>
    <row r="107" spans="1:20" x14ac:dyDescent="0.2">
      <c r="A107" s="2">
        <f t="shared" si="0"/>
        <v>106</v>
      </c>
      <c r="B107" s="2" t="s">
        <v>62</v>
      </c>
      <c r="C107" s="2">
        <v>1</v>
      </c>
      <c r="D107" s="2">
        <v>8</v>
      </c>
      <c r="E107" s="2">
        <v>35</v>
      </c>
      <c r="F107" s="2">
        <v>26</v>
      </c>
      <c r="G107" s="2">
        <v>113.96</v>
      </c>
      <c r="H107" s="2" t="s">
        <v>26</v>
      </c>
      <c r="I107" s="2" t="s">
        <v>63</v>
      </c>
      <c r="J107" s="2" t="s">
        <v>31</v>
      </c>
      <c r="K107" s="2" t="s">
        <v>48</v>
      </c>
      <c r="L107" s="2">
        <v>2019</v>
      </c>
      <c r="M107" s="2">
        <v>173</v>
      </c>
      <c r="N107" s="2">
        <v>7</v>
      </c>
      <c r="O107" s="2" t="s">
        <v>50</v>
      </c>
      <c r="P107" s="2" t="s">
        <v>50</v>
      </c>
      <c r="Q107" s="2" t="s">
        <v>55</v>
      </c>
      <c r="R107" s="2" t="s">
        <v>51</v>
      </c>
      <c r="S107" s="2">
        <v>7</v>
      </c>
      <c r="T107" s="2">
        <v>4</v>
      </c>
    </row>
    <row r="108" spans="1:20" x14ac:dyDescent="0.2">
      <c r="A108" s="2">
        <f t="shared" si="0"/>
        <v>107</v>
      </c>
      <c r="B108" s="2" t="s">
        <v>62</v>
      </c>
      <c r="C108" s="2">
        <v>1</v>
      </c>
      <c r="D108" s="2">
        <v>9</v>
      </c>
      <c r="E108" s="2">
        <v>41</v>
      </c>
      <c r="F108" s="2">
        <v>47</v>
      </c>
      <c r="G108" s="2">
        <v>151.19999999999999</v>
      </c>
      <c r="H108" s="2" t="s">
        <v>31</v>
      </c>
      <c r="I108" s="2" t="s">
        <v>64</v>
      </c>
      <c r="J108" s="2" t="s">
        <v>23</v>
      </c>
      <c r="K108" s="2" t="s">
        <v>65</v>
      </c>
      <c r="L108" s="2">
        <v>2020</v>
      </c>
      <c r="M108" s="2">
        <v>139</v>
      </c>
      <c r="N108" s="2">
        <v>2</v>
      </c>
      <c r="O108" s="2" t="s">
        <v>51</v>
      </c>
      <c r="P108" s="2" t="s">
        <v>51</v>
      </c>
      <c r="Q108" s="2" t="s">
        <v>55</v>
      </c>
      <c r="R108" s="2" t="s">
        <v>51</v>
      </c>
      <c r="S108" s="2">
        <v>1</v>
      </c>
      <c r="T108" s="2">
        <v>4</v>
      </c>
    </row>
    <row r="109" spans="1:20" x14ac:dyDescent="0.2">
      <c r="A109" s="2">
        <f t="shared" si="0"/>
        <v>108</v>
      </c>
      <c r="B109" s="2" t="s">
        <v>62</v>
      </c>
      <c r="C109" s="2">
        <v>2</v>
      </c>
      <c r="D109" s="2">
        <v>5</v>
      </c>
      <c r="E109" s="2">
        <v>18</v>
      </c>
      <c r="F109" s="2">
        <v>4</v>
      </c>
      <c r="G109" s="2">
        <v>129.29</v>
      </c>
      <c r="H109" s="2" t="s">
        <v>32</v>
      </c>
      <c r="I109" s="2" t="s">
        <v>66</v>
      </c>
      <c r="J109" s="2" t="s">
        <v>45</v>
      </c>
      <c r="K109" s="2" t="s">
        <v>65</v>
      </c>
      <c r="L109" s="2">
        <v>2024</v>
      </c>
      <c r="M109" s="2">
        <v>166</v>
      </c>
      <c r="N109" s="2">
        <v>1</v>
      </c>
      <c r="O109" s="2" t="s">
        <v>51</v>
      </c>
      <c r="P109" s="2" t="s">
        <v>50</v>
      </c>
      <c r="Q109" s="2" t="s">
        <v>54</v>
      </c>
      <c r="R109" s="2" t="s">
        <v>50</v>
      </c>
      <c r="S109" s="2">
        <v>8</v>
      </c>
      <c r="T109" s="2">
        <v>4</v>
      </c>
    </row>
    <row r="110" spans="1:20" x14ac:dyDescent="0.2">
      <c r="A110" s="2">
        <f t="shared" si="0"/>
        <v>109</v>
      </c>
      <c r="B110" s="2" t="s">
        <v>62</v>
      </c>
      <c r="C110" s="2">
        <v>2</v>
      </c>
      <c r="D110" s="2">
        <v>11</v>
      </c>
      <c r="E110" s="2">
        <v>80</v>
      </c>
      <c r="F110" s="2">
        <v>46</v>
      </c>
      <c r="G110" s="2">
        <v>132.34</v>
      </c>
      <c r="H110" s="2" t="s">
        <v>29</v>
      </c>
      <c r="I110" s="2" t="s">
        <v>67</v>
      </c>
      <c r="J110" s="2" t="s">
        <v>23</v>
      </c>
      <c r="K110" s="2" t="s">
        <v>48</v>
      </c>
      <c r="L110" s="2">
        <v>2025</v>
      </c>
      <c r="M110" s="2">
        <v>157</v>
      </c>
      <c r="N110" s="2">
        <v>6</v>
      </c>
      <c r="O110" s="2" t="s">
        <v>50</v>
      </c>
      <c r="P110" s="2" t="s">
        <v>51</v>
      </c>
      <c r="Q110" s="2" t="s">
        <v>55</v>
      </c>
      <c r="R110" s="2" t="s">
        <v>50</v>
      </c>
      <c r="S110" s="2">
        <v>1</v>
      </c>
      <c r="T110" s="2">
        <v>8</v>
      </c>
    </row>
    <row r="111" spans="1:20" x14ac:dyDescent="0.2">
      <c r="A111" s="2">
        <f t="shared" si="0"/>
        <v>110</v>
      </c>
      <c r="B111" s="2" t="s">
        <v>62</v>
      </c>
      <c r="C111" s="2">
        <v>2</v>
      </c>
      <c r="D111" s="2">
        <v>6</v>
      </c>
      <c r="E111" s="2">
        <v>63</v>
      </c>
      <c r="F111" s="2">
        <v>37</v>
      </c>
      <c r="G111" s="2">
        <v>156.51</v>
      </c>
      <c r="H111" s="2" t="s">
        <v>29</v>
      </c>
      <c r="I111" s="2" t="s">
        <v>66</v>
      </c>
      <c r="J111" s="2" t="s">
        <v>27</v>
      </c>
      <c r="K111" s="2" t="s">
        <v>65</v>
      </c>
      <c r="L111" s="2">
        <v>2025</v>
      </c>
      <c r="M111" s="2">
        <v>165</v>
      </c>
      <c r="N111" s="2">
        <v>5</v>
      </c>
      <c r="O111" s="2" t="s">
        <v>50</v>
      </c>
      <c r="P111" s="2" t="s">
        <v>51</v>
      </c>
      <c r="Q111" s="2" t="s">
        <v>52</v>
      </c>
      <c r="R111" s="2" t="s">
        <v>50</v>
      </c>
      <c r="S111" s="2">
        <v>5</v>
      </c>
      <c r="T111" s="2">
        <v>1</v>
      </c>
    </row>
    <row r="112" spans="1:20" x14ac:dyDescent="0.2">
      <c r="A112" s="2">
        <f t="shared" si="0"/>
        <v>111</v>
      </c>
      <c r="B112" s="2" t="s">
        <v>62</v>
      </c>
      <c r="C112" s="2">
        <v>2</v>
      </c>
      <c r="D112" s="2">
        <v>6</v>
      </c>
      <c r="E112" s="2">
        <v>40</v>
      </c>
      <c r="F112" s="2">
        <v>27</v>
      </c>
      <c r="G112" s="2">
        <v>167.24</v>
      </c>
      <c r="H112" s="2" t="s">
        <v>23</v>
      </c>
      <c r="I112" s="2" t="s">
        <v>64</v>
      </c>
      <c r="J112" s="2" t="s">
        <v>30</v>
      </c>
      <c r="K112" s="2" t="s">
        <v>65</v>
      </c>
      <c r="L112" s="2">
        <v>2017</v>
      </c>
      <c r="M112" s="2">
        <v>183</v>
      </c>
      <c r="N112" s="2">
        <v>5</v>
      </c>
      <c r="O112" s="2" t="s">
        <v>50</v>
      </c>
      <c r="P112" s="2" t="s">
        <v>50</v>
      </c>
      <c r="Q112" s="2" t="s">
        <v>52</v>
      </c>
      <c r="R112" s="2" t="s">
        <v>50</v>
      </c>
      <c r="S112" s="2">
        <v>2</v>
      </c>
      <c r="T112" s="2">
        <v>1</v>
      </c>
    </row>
    <row r="113" spans="1:20" x14ac:dyDescent="0.2">
      <c r="A113" s="2">
        <f t="shared" si="0"/>
        <v>112</v>
      </c>
      <c r="B113" s="2" t="s">
        <v>62</v>
      </c>
      <c r="C113" s="2">
        <v>1</v>
      </c>
      <c r="D113" s="2">
        <v>2</v>
      </c>
      <c r="E113" s="2">
        <v>75</v>
      </c>
      <c r="F113" s="2">
        <v>37</v>
      </c>
      <c r="G113" s="2">
        <v>164.25</v>
      </c>
      <c r="H113" s="2" t="s">
        <v>23</v>
      </c>
      <c r="I113" s="2" t="s">
        <v>66</v>
      </c>
      <c r="J113" s="2" t="s">
        <v>30</v>
      </c>
      <c r="K113" s="2" t="s">
        <v>49</v>
      </c>
      <c r="L113" s="2">
        <v>2024</v>
      </c>
      <c r="M113" s="2">
        <v>194</v>
      </c>
      <c r="N113" s="2">
        <v>7</v>
      </c>
      <c r="O113" s="2" t="s">
        <v>50</v>
      </c>
      <c r="P113" s="2" t="s">
        <v>50</v>
      </c>
      <c r="Q113" s="2" t="s">
        <v>52</v>
      </c>
      <c r="R113" s="2" t="s">
        <v>50</v>
      </c>
      <c r="S113" s="2">
        <v>4</v>
      </c>
      <c r="T113" s="2">
        <v>3</v>
      </c>
    </row>
    <row r="114" spans="1:20" x14ac:dyDescent="0.2">
      <c r="A114" s="2">
        <f t="shared" si="0"/>
        <v>113</v>
      </c>
      <c r="B114" s="2" t="s">
        <v>62</v>
      </c>
      <c r="C114" s="2">
        <v>1</v>
      </c>
      <c r="D114" s="2">
        <v>3</v>
      </c>
      <c r="E114" s="2">
        <v>32</v>
      </c>
      <c r="F114" s="2">
        <v>45</v>
      </c>
      <c r="G114" s="2">
        <v>144.99</v>
      </c>
      <c r="H114" s="2" t="s">
        <v>26</v>
      </c>
      <c r="I114" s="2" t="s">
        <v>66</v>
      </c>
      <c r="J114" s="2" t="s">
        <v>29</v>
      </c>
      <c r="K114" s="2" t="s">
        <v>49</v>
      </c>
      <c r="L114" s="2">
        <v>2022</v>
      </c>
      <c r="M114" s="2">
        <v>136</v>
      </c>
      <c r="N114" s="2">
        <v>3</v>
      </c>
      <c r="O114" s="2" t="s">
        <v>50</v>
      </c>
      <c r="P114" s="2" t="s">
        <v>51</v>
      </c>
      <c r="Q114" s="2" t="s">
        <v>55</v>
      </c>
      <c r="R114" s="2" t="s">
        <v>50</v>
      </c>
      <c r="S114" s="2">
        <v>9</v>
      </c>
      <c r="T114" s="2">
        <v>0</v>
      </c>
    </row>
    <row r="115" spans="1:20" x14ac:dyDescent="0.2">
      <c r="A115" s="2">
        <f t="shared" si="0"/>
        <v>114</v>
      </c>
      <c r="B115" s="2" t="s">
        <v>62</v>
      </c>
      <c r="C115" s="2">
        <v>1</v>
      </c>
      <c r="D115" s="2">
        <v>10</v>
      </c>
      <c r="E115" s="2">
        <v>33</v>
      </c>
      <c r="F115" s="2">
        <v>37</v>
      </c>
      <c r="G115" s="2">
        <v>161.27000000000001</v>
      </c>
      <c r="H115" s="2" t="s">
        <v>23</v>
      </c>
      <c r="I115" s="2" t="s">
        <v>68</v>
      </c>
      <c r="J115" s="2" t="s">
        <v>23</v>
      </c>
      <c r="K115" s="2" t="s">
        <v>47</v>
      </c>
      <c r="L115" s="2">
        <v>2016</v>
      </c>
      <c r="M115" s="2">
        <v>164</v>
      </c>
      <c r="N115" s="2">
        <v>8</v>
      </c>
      <c r="O115" s="2" t="s">
        <v>51</v>
      </c>
      <c r="P115" s="2" t="s">
        <v>50</v>
      </c>
      <c r="Q115" s="2" t="s">
        <v>54</v>
      </c>
      <c r="R115" s="2" t="s">
        <v>51</v>
      </c>
      <c r="S115" s="2">
        <v>10</v>
      </c>
      <c r="T115" s="2">
        <v>5</v>
      </c>
    </row>
    <row r="116" spans="1:20" x14ac:dyDescent="0.2">
      <c r="A116" s="2">
        <f t="shared" si="0"/>
        <v>115</v>
      </c>
      <c r="B116" s="2" t="s">
        <v>62</v>
      </c>
      <c r="C116" s="2">
        <v>2</v>
      </c>
      <c r="D116" s="2">
        <v>4</v>
      </c>
      <c r="E116" s="2">
        <v>80</v>
      </c>
      <c r="F116" s="2">
        <v>10</v>
      </c>
      <c r="G116" s="2">
        <v>168.3</v>
      </c>
      <c r="H116" s="2" t="s">
        <v>31</v>
      </c>
      <c r="I116" s="2" t="s">
        <v>66</v>
      </c>
      <c r="J116" s="2" t="s">
        <v>27</v>
      </c>
      <c r="K116" s="2" t="s">
        <v>48</v>
      </c>
      <c r="L116" s="2">
        <v>2021</v>
      </c>
      <c r="M116" s="2">
        <v>135</v>
      </c>
      <c r="N116" s="2">
        <v>8</v>
      </c>
      <c r="O116" s="2" t="s">
        <v>50</v>
      </c>
      <c r="P116" s="2" t="s">
        <v>51</v>
      </c>
      <c r="Q116" s="2" t="s">
        <v>54</v>
      </c>
      <c r="R116" s="2" t="s">
        <v>50</v>
      </c>
      <c r="S116" s="2">
        <v>3</v>
      </c>
      <c r="T116" s="2">
        <v>3</v>
      </c>
    </row>
    <row r="117" spans="1:20" x14ac:dyDescent="0.2">
      <c r="A117" s="2">
        <f t="shared" si="0"/>
        <v>116</v>
      </c>
      <c r="B117" s="2" t="s">
        <v>62</v>
      </c>
      <c r="C117" s="2">
        <v>2</v>
      </c>
      <c r="D117" s="2">
        <v>4</v>
      </c>
      <c r="E117" s="2">
        <v>29</v>
      </c>
      <c r="F117" s="2">
        <v>18</v>
      </c>
      <c r="G117" s="2">
        <v>131.15</v>
      </c>
      <c r="H117" s="2" t="s">
        <v>27</v>
      </c>
      <c r="I117" s="2" t="s">
        <v>64</v>
      </c>
      <c r="J117" s="2" t="s">
        <v>45</v>
      </c>
      <c r="K117" s="2" t="s">
        <v>65</v>
      </c>
      <c r="L117" s="2">
        <v>2021</v>
      </c>
      <c r="M117" s="2">
        <v>164</v>
      </c>
      <c r="N117" s="2">
        <v>4</v>
      </c>
      <c r="O117" s="2" t="s">
        <v>51</v>
      </c>
      <c r="P117" s="2" t="s">
        <v>50</v>
      </c>
      <c r="Q117" s="2" t="s">
        <v>52</v>
      </c>
      <c r="R117" s="2" t="s">
        <v>50</v>
      </c>
      <c r="S117" s="2">
        <v>6</v>
      </c>
      <c r="T117" s="2">
        <v>5</v>
      </c>
    </row>
    <row r="118" spans="1:20" x14ac:dyDescent="0.2">
      <c r="A118" s="2">
        <f t="shared" si="0"/>
        <v>117</v>
      </c>
      <c r="B118" s="2" t="s">
        <v>62</v>
      </c>
      <c r="C118" s="2">
        <v>2</v>
      </c>
      <c r="D118" s="2">
        <v>6</v>
      </c>
      <c r="E118" s="2">
        <v>46</v>
      </c>
      <c r="F118" s="2">
        <v>5</v>
      </c>
      <c r="G118" s="2">
        <v>63.14</v>
      </c>
      <c r="H118" s="2" t="s">
        <v>32</v>
      </c>
      <c r="I118" s="2" t="s">
        <v>69</v>
      </c>
      <c r="J118" s="2" t="s">
        <v>29</v>
      </c>
      <c r="K118" s="2" t="s">
        <v>49</v>
      </c>
      <c r="L118" s="2">
        <v>2017</v>
      </c>
      <c r="M118" s="2">
        <v>169</v>
      </c>
      <c r="N118" s="2">
        <v>6</v>
      </c>
      <c r="O118" s="2" t="s">
        <v>51</v>
      </c>
      <c r="P118" s="2" t="s">
        <v>51</v>
      </c>
      <c r="Q118" s="2" t="s">
        <v>55</v>
      </c>
      <c r="R118" s="2" t="s">
        <v>51</v>
      </c>
      <c r="S118" s="2">
        <v>2</v>
      </c>
      <c r="T118" s="2">
        <v>2</v>
      </c>
    </row>
    <row r="119" spans="1:20" x14ac:dyDescent="0.2">
      <c r="A119" s="2">
        <f t="shared" si="0"/>
        <v>118</v>
      </c>
      <c r="B119" s="2" t="s">
        <v>62</v>
      </c>
      <c r="C119" s="2">
        <v>1</v>
      </c>
      <c r="D119" s="2">
        <v>8</v>
      </c>
      <c r="E119" s="2">
        <v>49</v>
      </c>
      <c r="F119" s="2">
        <v>36</v>
      </c>
      <c r="G119" s="2">
        <v>124.53</v>
      </c>
      <c r="H119" s="2" t="s">
        <v>26</v>
      </c>
      <c r="I119" s="2" t="s">
        <v>70</v>
      </c>
      <c r="J119" s="2" t="s">
        <v>29</v>
      </c>
      <c r="K119" s="2" t="s">
        <v>47</v>
      </c>
      <c r="L119" s="2">
        <v>2018</v>
      </c>
      <c r="M119" s="2">
        <v>160</v>
      </c>
      <c r="N119" s="2">
        <v>10</v>
      </c>
      <c r="O119" s="2" t="s">
        <v>50</v>
      </c>
      <c r="P119" s="2" t="s">
        <v>50</v>
      </c>
      <c r="Q119" s="2" t="s">
        <v>55</v>
      </c>
      <c r="R119" s="2" t="s">
        <v>50</v>
      </c>
      <c r="S119" s="2">
        <v>9</v>
      </c>
      <c r="T119" s="2">
        <v>7</v>
      </c>
    </row>
    <row r="120" spans="1:20" x14ac:dyDescent="0.2">
      <c r="A120" s="2">
        <f t="shared" si="0"/>
        <v>119</v>
      </c>
      <c r="B120" s="2" t="s">
        <v>62</v>
      </c>
      <c r="C120" s="2">
        <v>1</v>
      </c>
      <c r="D120" s="2">
        <v>5</v>
      </c>
      <c r="E120" s="2">
        <v>1</v>
      </c>
      <c r="F120" s="2">
        <v>36</v>
      </c>
      <c r="G120" s="2">
        <v>99.13</v>
      </c>
      <c r="H120" s="2" t="s">
        <v>30</v>
      </c>
      <c r="I120" s="2" t="s">
        <v>64</v>
      </c>
      <c r="J120" s="2" t="s">
        <v>31</v>
      </c>
      <c r="K120" s="2" t="s">
        <v>49</v>
      </c>
      <c r="L120" s="2">
        <v>2025</v>
      </c>
      <c r="M120" s="2">
        <v>162</v>
      </c>
      <c r="N120" s="2">
        <v>5</v>
      </c>
      <c r="O120" s="2" t="s">
        <v>51</v>
      </c>
      <c r="P120" s="2" t="s">
        <v>50</v>
      </c>
      <c r="Q120" s="2" t="s">
        <v>54</v>
      </c>
      <c r="R120" s="2" t="s">
        <v>51</v>
      </c>
      <c r="S120" s="2">
        <v>0</v>
      </c>
      <c r="T120" s="2">
        <v>4</v>
      </c>
    </row>
    <row r="121" spans="1:20" x14ac:dyDescent="0.2">
      <c r="A121" s="2">
        <f t="shared" si="0"/>
        <v>120</v>
      </c>
      <c r="B121" s="2" t="s">
        <v>62</v>
      </c>
      <c r="C121" s="2">
        <v>1</v>
      </c>
      <c r="D121" s="2">
        <v>10</v>
      </c>
      <c r="E121" s="2">
        <v>63</v>
      </c>
      <c r="F121" s="2">
        <v>13</v>
      </c>
      <c r="G121" s="2">
        <v>154.31</v>
      </c>
      <c r="H121" s="2" t="s">
        <v>26</v>
      </c>
      <c r="I121" s="2" t="s">
        <v>68</v>
      </c>
      <c r="J121" s="2" t="s">
        <v>31</v>
      </c>
      <c r="K121" s="2" t="s">
        <v>48</v>
      </c>
      <c r="L121" s="2">
        <v>2021</v>
      </c>
      <c r="M121" s="2">
        <v>122</v>
      </c>
      <c r="N121" s="2">
        <v>6</v>
      </c>
      <c r="O121" s="2" t="s">
        <v>50</v>
      </c>
      <c r="P121" s="2" t="s">
        <v>51</v>
      </c>
      <c r="Q121" s="2" t="s">
        <v>55</v>
      </c>
      <c r="R121" s="2" t="s">
        <v>50</v>
      </c>
      <c r="S121" s="2">
        <v>2</v>
      </c>
      <c r="T121" s="2">
        <v>1</v>
      </c>
    </row>
    <row r="122" spans="1:20" x14ac:dyDescent="0.2">
      <c r="A122" s="2">
        <f t="shared" si="0"/>
        <v>121</v>
      </c>
      <c r="B122" s="2" t="s">
        <v>62</v>
      </c>
      <c r="C122" s="2">
        <v>2</v>
      </c>
      <c r="D122" s="2">
        <v>4</v>
      </c>
      <c r="E122" s="2">
        <v>50</v>
      </c>
      <c r="F122" s="2">
        <v>13</v>
      </c>
      <c r="G122" s="2">
        <v>186.19</v>
      </c>
      <c r="H122" s="2" t="s">
        <v>27</v>
      </c>
      <c r="I122" s="2" t="s">
        <v>63</v>
      </c>
      <c r="J122" s="2" t="s">
        <v>27</v>
      </c>
      <c r="K122" s="2" t="s">
        <v>49</v>
      </c>
      <c r="L122" s="2">
        <v>2020</v>
      </c>
      <c r="M122" s="2">
        <v>208</v>
      </c>
      <c r="N122" s="2">
        <v>2</v>
      </c>
      <c r="O122" s="2" t="s">
        <v>51</v>
      </c>
      <c r="P122" s="2" t="s">
        <v>51</v>
      </c>
      <c r="Q122" s="2" t="s">
        <v>54</v>
      </c>
      <c r="R122" s="2" t="s">
        <v>51</v>
      </c>
      <c r="S122" s="2">
        <v>5</v>
      </c>
      <c r="T122" s="2">
        <v>6</v>
      </c>
    </row>
    <row r="123" spans="1:20" x14ac:dyDescent="0.2">
      <c r="A123" s="2">
        <f t="shared" si="0"/>
        <v>122</v>
      </c>
      <c r="B123" s="2" t="s">
        <v>62</v>
      </c>
      <c r="C123" s="2">
        <v>1</v>
      </c>
      <c r="D123" s="2">
        <v>1</v>
      </c>
      <c r="E123" s="2">
        <v>11</v>
      </c>
      <c r="F123" s="2">
        <v>24</v>
      </c>
      <c r="G123" s="2">
        <v>107.61</v>
      </c>
      <c r="H123" s="2" t="s">
        <v>29</v>
      </c>
      <c r="I123" s="2" t="s">
        <v>70</v>
      </c>
      <c r="J123" s="2" t="s">
        <v>29</v>
      </c>
      <c r="K123" s="2" t="s">
        <v>49</v>
      </c>
      <c r="L123" s="2">
        <v>2025</v>
      </c>
      <c r="M123" s="2">
        <v>184</v>
      </c>
      <c r="N123" s="2">
        <v>3</v>
      </c>
      <c r="O123" s="2" t="s">
        <v>51</v>
      </c>
      <c r="P123" s="2" t="s">
        <v>51</v>
      </c>
      <c r="Q123" s="2" t="s">
        <v>54</v>
      </c>
      <c r="R123" s="2" t="s">
        <v>50</v>
      </c>
      <c r="S123" s="2">
        <v>1</v>
      </c>
      <c r="T123" s="2">
        <v>4</v>
      </c>
    </row>
    <row r="124" spans="1:20" x14ac:dyDescent="0.2">
      <c r="A124" s="2">
        <f t="shared" si="0"/>
        <v>123</v>
      </c>
      <c r="B124" s="2" t="s">
        <v>62</v>
      </c>
      <c r="C124" s="2">
        <v>2</v>
      </c>
      <c r="D124" s="2">
        <v>4</v>
      </c>
      <c r="E124" s="2">
        <v>77</v>
      </c>
      <c r="F124" s="2">
        <v>47</v>
      </c>
      <c r="G124" s="2">
        <v>204.39</v>
      </c>
      <c r="H124" s="2" t="s">
        <v>29</v>
      </c>
      <c r="I124" s="2" t="s">
        <v>69</v>
      </c>
      <c r="J124" s="2" t="s">
        <v>71</v>
      </c>
      <c r="K124" s="2" t="s">
        <v>49</v>
      </c>
      <c r="L124" s="2">
        <v>2022</v>
      </c>
      <c r="M124" s="2">
        <v>184</v>
      </c>
      <c r="N124" s="2">
        <v>5</v>
      </c>
      <c r="O124" s="2" t="s">
        <v>50</v>
      </c>
      <c r="P124" s="2" t="s">
        <v>51</v>
      </c>
      <c r="Q124" s="2" t="s">
        <v>54</v>
      </c>
      <c r="R124" s="2" t="s">
        <v>51</v>
      </c>
      <c r="S124" s="2">
        <v>4</v>
      </c>
      <c r="T124" s="2">
        <v>3</v>
      </c>
    </row>
    <row r="125" spans="1:20" x14ac:dyDescent="0.2">
      <c r="A125" s="2">
        <f t="shared" si="0"/>
        <v>124</v>
      </c>
      <c r="B125" s="2" t="s">
        <v>62</v>
      </c>
      <c r="C125" s="2">
        <v>1</v>
      </c>
      <c r="D125" s="2">
        <v>11</v>
      </c>
      <c r="E125" s="2">
        <v>6</v>
      </c>
      <c r="F125" s="2">
        <v>32</v>
      </c>
      <c r="G125" s="2">
        <v>60.15</v>
      </c>
      <c r="H125" s="2" t="s">
        <v>24</v>
      </c>
      <c r="I125" s="2" t="s">
        <v>70</v>
      </c>
      <c r="J125" s="2" t="s">
        <v>23</v>
      </c>
      <c r="K125" s="2" t="s">
        <v>48</v>
      </c>
      <c r="L125" s="2">
        <v>2018</v>
      </c>
      <c r="M125" s="2">
        <v>151</v>
      </c>
      <c r="N125" s="2">
        <v>9</v>
      </c>
      <c r="O125" s="2" t="s">
        <v>51</v>
      </c>
      <c r="P125" s="2" t="s">
        <v>51</v>
      </c>
      <c r="Q125" s="2" t="s">
        <v>52</v>
      </c>
      <c r="R125" s="2" t="s">
        <v>50</v>
      </c>
      <c r="S125" s="2">
        <v>3</v>
      </c>
      <c r="T125" s="2">
        <v>1</v>
      </c>
    </row>
    <row r="126" spans="1:20" x14ac:dyDescent="0.2">
      <c r="A126" s="2">
        <f t="shared" si="0"/>
        <v>125</v>
      </c>
      <c r="B126" s="2" t="s">
        <v>62</v>
      </c>
      <c r="C126" s="2">
        <v>1</v>
      </c>
      <c r="D126" s="2">
        <v>6</v>
      </c>
      <c r="E126" s="2">
        <v>45</v>
      </c>
      <c r="F126" s="2">
        <v>41</v>
      </c>
      <c r="G126" s="2">
        <v>240.29</v>
      </c>
      <c r="H126" s="2" t="s">
        <v>31</v>
      </c>
      <c r="I126" s="2" t="s">
        <v>64</v>
      </c>
      <c r="J126" s="2" t="s">
        <v>30</v>
      </c>
      <c r="K126" s="2" t="s">
        <v>47</v>
      </c>
      <c r="L126" s="2">
        <v>2018</v>
      </c>
      <c r="M126" s="2">
        <v>134</v>
      </c>
      <c r="N126" s="2">
        <v>1</v>
      </c>
      <c r="O126" s="2" t="s">
        <v>51</v>
      </c>
      <c r="P126" s="2" t="s">
        <v>51</v>
      </c>
      <c r="Q126" s="2" t="s">
        <v>52</v>
      </c>
      <c r="R126" s="2" t="s">
        <v>50</v>
      </c>
      <c r="S126" s="2">
        <v>2</v>
      </c>
      <c r="T126" s="2">
        <v>5</v>
      </c>
    </row>
    <row r="127" spans="1:20" x14ac:dyDescent="0.2">
      <c r="A127" s="2">
        <f t="shared" si="0"/>
        <v>126</v>
      </c>
      <c r="B127" s="2" t="s">
        <v>62</v>
      </c>
      <c r="C127" s="2">
        <v>2</v>
      </c>
      <c r="D127" s="2">
        <v>6</v>
      </c>
      <c r="E127" s="2">
        <v>16</v>
      </c>
      <c r="F127" s="2">
        <v>30</v>
      </c>
      <c r="G127" s="2">
        <v>230.9</v>
      </c>
      <c r="H127" s="2" t="s">
        <v>26</v>
      </c>
      <c r="I127" s="2" t="s">
        <v>64</v>
      </c>
      <c r="J127" s="2" t="s">
        <v>71</v>
      </c>
      <c r="K127" s="2" t="s">
        <v>65</v>
      </c>
      <c r="L127" s="2">
        <v>2022</v>
      </c>
      <c r="M127" s="2">
        <v>187</v>
      </c>
      <c r="N127" s="2">
        <v>5</v>
      </c>
      <c r="O127" s="2" t="s">
        <v>50</v>
      </c>
      <c r="P127" s="2" t="s">
        <v>50</v>
      </c>
      <c r="Q127" s="2" t="s">
        <v>52</v>
      </c>
      <c r="R127" s="2" t="s">
        <v>51</v>
      </c>
      <c r="S127" s="2">
        <v>1</v>
      </c>
      <c r="T127" s="2">
        <v>8</v>
      </c>
    </row>
    <row r="128" spans="1:20" x14ac:dyDescent="0.2">
      <c r="A128" s="2">
        <f t="shared" si="0"/>
        <v>127</v>
      </c>
      <c r="B128" s="2" t="s">
        <v>62</v>
      </c>
      <c r="C128" s="2">
        <v>2</v>
      </c>
      <c r="D128" s="2">
        <v>1</v>
      </c>
      <c r="E128" s="2">
        <v>66</v>
      </c>
      <c r="F128" s="2">
        <v>38</v>
      </c>
      <c r="G128" s="2">
        <v>194.63</v>
      </c>
      <c r="H128" s="2" t="s">
        <v>24</v>
      </c>
      <c r="I128" s="2" t="s">
        <v>70</v>
      </c>
      <c r="J128" s="2" t="s">
        <v>30</v>
      </c>
      <c r="K128" s="2" t="s">
        <v>48</v>
      </c>
      <c r="L128" s="2">
        <v>2023</v>
      </c>
      <c r="M128" s="2">
        <v>202</v>
      </c>
      <c r="N128" s="2">
        <v>0</v>
      </c>
      <c r="O128" s="2" t="s">
        <v>50</v>
      </c>
      <c r="P128" s="2" t="s">
        <v>51</v>
      </c>
      <c r="Q128" s="2" t="s">
        <v>55</v>
      </c>
      <c r="R128" s="2" t="s">
        <v>51</v>
      </c>
      <c r="S128" s="2">
        <v>1</v>
      </c>
      <c r="T128" s="2">
        <v>2</v>
      </c>
    </row>
    <row r="129" spans="1:20" x14ac:dyDescent="0.2">
      <c r="A129" s="2">
        <f t="shared" si="0"/>
        <v>128</v>
      </c>
      <c r="B129" s="2" t="s">
        <v>62</v>
      </c>
      <c r="C129" s="2">
        <v>1</v>
      </c>
      <c r="D129" s="2">
        <v>2</v>
      </c>
      <c r="E129" s="2">
        <v>29</v>
      </c>
      <c r="F129" s="2">
        <v>31</v>
      </c>
      <c r="G129" s="2">
        <v>176.17</v>
      </c>
      <c r="H129" s="2" t="s">
        <v>26</v>
      </c>
      <c r="I129" s="2" t="s">
        <v>72</v>
      </c>
      <c r="J129" s="2" t="s">
        <v>26</v>
      </c>
      <c r="K129" s="2" t="s">
        <v>49</v>
      </c>
      <c r="L129" s="2">
        <v>2024</v>
      </c>
      <c r="M129" s="2">
        <v>128</v>
      </c>
      <c r="N129" s="2">
        <v>10</v>
      </c>
      <c r="O129" s="2" t="s">
        <v>50</v>
      </c>
      <c r="P129" s="2" t="s">
        <v>51</v>
      </c>
      <c r="Q129" s="2" t="s">
        <v>55</v>
      </c>
      <c r="R129" s="2" t="s">
        <v>50</v>
      </c>
      <c r="S129" s="2">
        <v>2</v>
      </c>
      <c r="T129" s="2">
        <v>0</v>
      </c>
    </row>
    <row r="130" spans="1:20" x14ac:dyDescent="0.2">
      <c r="A130" s="2">
        <f t="shared" si="0"/>
        <v>129</v>
      </c>
      <c r="B130" s="2" t="s">
        <v>62</v>
      </c>
      <c r="C130" s="2">
        <v>1</v>
      </c>
      <c r="D130" s="2">
        <v>4</v>
      </c>
      <c r="E130" s="2">
        <v>9</v>
      </c>
      <c r="F130" s="2">
        <v>33</v>
      </c>
      <c r="G130" s="2">
        <v>223.02</v>
      </c>
      <c r="H130" s="2" t="s">
        <v>32</v>
      </c>
      <c r="I130" s="2" t="s">
        <v>73</v>
      </c>
      <c r="J130" s="2" t="s">
        <v>32</v>
      </c>
      <c r="K130" s="2" t="s">
        <v>65</v>
      </c>
      <c r="L130" s="2">
        <v>2017</v>
      </c>
      <c r="M130" s="2">
        <v>203</v>
      </c>
      <c r="N130" s="2">
        <v>8</v>
      </c>
      <c r="O130" s="2" t="s">
        <v>50</v>
      </c>
      <c r="P130" s="2" t="s">
        <v>51</v>
      </c>
      <c r="Q130" s="2" t="s">
        <v>55</v>
      </c>
      <c r="R130" s="2" t="s">
        <v>50</v>
      </c>
      <c r="S130" s="2">
        <v>7</v>
      </c>
      <c r="T130" s="2">
        <v>8</v>
      </c>
    </row>
    <row r="131" spans="1:20" x14ac:dyDescent="0.2">
      <c r="A131" s="2">
        <f t="shared" si="0"/>
        <v>130</v>
      </c>
      <c r="B131" s="2" t="s">
        <v>62</v>
      </c>
      <c r="C131" s="2">
        <v>2</v>
      </c>
      <c r="D131" s="2">
        <v>7</v>
      </c>
      <c r="E131" s="2">
        <v>27</v>
      </c>
      <c r="F131" s="2">
        <v>49</v>
      </c>
      <c r="G131" s="2">
        <v>62.59</v>
      </c>
      <c r="H131" s="2" t="s">
        <v>24</v>
      </c>
      <c r="I131" s="2" t="s">
        <v>70</v>
      </c>
      <c r="J131" s="2" t="s">
        <v>26</v>
      </c>
      <c r="K131" s="2" t="s">
        <v>47</v>
      </c>
      <c r="L131" s="2">
        <v>2019</v>
      </c>
      <c r="M131" s="2">
        <v>210</v>
      </c>
      <c r="N131" s="2">
        <v>9</v>
      </c>
      <c r="O131" s="2" t="s">
        <v>50</v>
      </c>
      <c r="P131" s="2" t="s">
        <v>51</v>
      </c>
      <c r="Q131" s="2" t="s">
        <v>55</v>
      </c>
      <c r="R131" s="2" t="s">
        <v>50</v>
      </c>
      <c r="S131" s="2">
        <v>9</v>
      </c>
      <c r="T131" s="2">
        <v>2</v>
      </c>
    </row>
    <row r="132" spans="1:20" x14ac:dyDescent="0.2">
      <c r="A132" s="2">
        <f t="shared" si="0"/>
        <v>131</v>
      </c>
      <c r="B132" s="2" t="s">
        <v>62</v>
      </c>
      <c r="C132" s="2">
        <v>2</v>
      </c>
      <c r="D132" s="2">
        <v>1</v>
      </c>
      <c r="E132" s="2">
        <v>9</v>
      </c>
      <c r="F132" s="2">
        <v>36</v>
      </c>
      <c r="G132" s="2">
        <v>151.57</v>
      </c>
      <c r="H132" s="2" t="s">
        <v>29</v>
      </c>
      <c r="I132" s="2" t="s">
        <v>67</v>
      </c>
      <c r="J132" s="2" t="s">
        <v>26</v>
      </c>
      <c r="K132" s="2" t="s">
        <v>65</v>
      </c>
      <c r="L132" s="2">
        <v>2022</v>
      </c>
      <c r="M132" s="2">
        <v>178</v>
      </c>
      <c r="N132" s="2">
        <v>9</v>
      </c>
      <c r="O132" s="2" t="s">
        <v>51</v>
      </c>
      <c r="P132" s="2" t="s">
        <v>51</v>
      </c>
      <c r="Q132" s="2" t="s">
        <v>54</v>
      </c>
      <c r="R132" s="2" t="s">
        <v>50</v>
      </c>
      <c r="S132" s="2">
        <v>1</v>
      </c>
      <c r="T132" s="2">
        <v>1</v>
      </c>
    </row>
    <row r="133" spans="1:20" x14ac:dyDescent="0.2">
      <c r="A133" s="2">
        <f t="shared" si="0"/>
        <v>132</v>
      </c>
      <c r="B133" s="2" t="s">
        <v>62</v>
      </c>
      <c r="C133" s="2">
        <v>2</v>
      </c>
      <c r="D133" s="2">
        <v>7</v>
      </c>
      <c r="E133" s="2">
        <v>38</v>
      </c>
      <c r="F133" s="2">
        <v>16</v>
      </c>
      <c r="G133" s="2">
        <v>178.48</v>
      </c>
      <c r="H133" s="2" t="s">
        <v>31</v>
      </c>
      <c r="I133" s="2" t="s">
        <v>72</v>
      </c>
      <c r="J133" s="2" t="s">
        <v>26</v>
      </c>
      <c r="K133" s="2" t="s">
        <v>65</v>
      </c>
      <c r="L133" s="2">
        <v>2016</v>
      </c>
      <c r="M133" s="2">
        <v>186</v>
      </c>
      <c r="N133" s="2">
        <v>9</v>
      </c>
      <c r="O133" s="2" t="s">
        <v>50</v>
      </c>
      <c r="P133" s="2" t="s">
        <v>50</v>
      </c>
      <c r="Q133" s="2" t="s">
        <v>55</v>
      </c>
      <c r="R133" s="2" t="s">
        <v>50</v>
      </c>
      <c r="S133" s="2">
        <v>1</v>
      </c>
      <c r="T133" s="2">
        <v>4</v>
      </c>
    </row>
    <row r="134" spans="1:20" x14ac:dyDescent="0.2">
      <c r="A134" s="2">
        <f t="shared" si="0"/>
        <v>133</v>
      </c>
      <c r="B134" s="2" t="s">
        <v>62</v>
      </c>
      <c r="C134" s="2">
        <v>2</v>
      </c>
      <c r="D134" s="2">
        <v>7</v>
      </c>
      <c r="E134" s="2">
        <v>4</v>
      </c>
      <c r="F134" s="2">
        <v>3</v>
      </c>
      <c r="G134" s="2">
        <v>161.30000000000001</v>
      </c>
      <c r="H134" s="2" t="s">
        <v>27</v>
      </c>
      <c r="I134" s="2" t="s">
        <v>73</v>
      </c>
      <c r="J134" s="2" t="s">
        <v>23</v>
      </c>
      <c r="K134" s="2" t="s">
        <v>49</v>
      </c>
      <c r="L134" s="2">
        <v>2018</v>
      </c>
      <c r="M134" s="2">
        <v>211</v>
      </c>
      <c r="N134" s="2">
        <v>9</v>
      </c>
      <c r="O134" s="2" t="s">
        <v>50</v>
      </c>
      <c r="P134" s="2" t="s">
        <v>51</v>
      </c>
      <c r="Q134" s="2" t="s">
        <v>52</v>
      </c>
      <c r="R134" s="2" t="s">
        <v>51</v>
      </c>
      <c r="S134" s="2">
        <v>8</v>
      </c>
      <c r="T134" s="2">
        <v>4</v>
      </c>
    </row>
    <row r="135" spans="1:20" x14ac:dyDescent="0.2">
      <c r="A135" s="2">
        <f t="shared" si="0"/>
        <v>134</v>
      </c>
      <c r="B135" s="2" t="s">
        <v>62</v>
      </c>
      <c r="C135" s="2">
        <v>2</v>
      </c>
      <c r="D135" s="2">
        <v>9</v>
      </c>
      <c r="E135" s="2">
        <v>65</v>
      </c>
      <c r="F135" s="2">
        <v>3</v>
      </c>
      <c r="G135" s="2">
        <v>64.73</v>
      </c>
      <c r="H135" s="2" t="s">
        <v>22</v>
      </c>
      <c r="I135" s="2" t="s">
        <v>70</v>
      </c>
      <c r="J135" s="2" t="s">
        <v>30</v>
      </c>
      <c r="K135" s="2" t="s">
        <v>49</v>
      </c>
      <c r="L135" s="2">
        <v>2020</v>
      </c>
      <c r="M135" s="2">
        <v>217</v>
      </c>
      <c r="N135" s="2">
        <v>4</v>
      </c>
      <c r="O135" s="2" t="s">
        <v>51</v>
      </c>
      <c r="P135" s="2" t="s">
        <v>50</v>
      </c>
      <c r="Q135" s="2" t="s">
        <v>55</v>
      </c>
      <c r="R135" s="2" t="s">
        <v>51</v>
      </c>
      <c r="S135" s="2">
        <v>1</v>
      </c>
      <c r="T135" s="2">
        <v>8</v>
      </c>
    </row>
    <row r="136" spans="1:20" x14ac:dyDescent="0.2">
      <c r="A136" s="2">
        <f t="shared" si="0"/>
        <v>135</v>
      </c>
      <c r="B136" s="2" t="s">
        <v>62</v>
      </c>
      <c r="C136" s="2">
        <v>2</v>
      </c>
      <c r="D136" s="2">
        <v>9</v>
      </c>
      <c r="E136" s="2">
        <v>0</v>
      </c>
      <c r="F136" s="2">
        <v>47</v>
      </c>
      <c r="G136" s="2">
        <v>81.59</v>
      </c>
      <c r="H136" s="2" t="s">
        <v>23</v>
      </c>
      <c r="I136" s="2" t="s">
        <v>66</v>
      </c>
      <c r="J136" s="2" t="s">
        <v>27</v>
      </c>
      <c r="K136" s="2" t="s">
        <v>48</v>
      </c>
      <c r="L136" s="2">
        <v>2022</v>
      </c>
      <c r="M136" s="2">
        <v>205</v>
      </c>
      <c r="N136" s="2">
        <v>4</v>
      </c>
      <c r="O136" s="2" t="s">
        <v>51</v>
      </c>
      <c r="P136" s="2" t="s">
        <v>51</v>
      </c>
      <c r="Q136" s="2" t="s">
        <v>55</v>
      </c>
      <c r="R136" s="2" t="s">
        <v>50</v>
      </c>
      <c r="S136" s="2">
        <v>1</v>
      </c>
      <c r="T136" s="2">
        <v>6</v>
      </c>
    </row>
    <row r="137" spans="1:20" x14ac:dyDescent="0.2">
      <c r="A137" s="2">
        <f t="shared" si="0"/>
        <v>136</v>
      </c>
      <c r="B137" s="2" t="s">
        <v>62</v>
      </c>
      <c r="C137" s="2">
        <v>1</v>
      </c>
      <c r="D137" s="2">
        <v>10</v>
      </c>
      <c r="E137" s="2">
        <v>54</v>
      </c>
      <c r="F137" s="2">
        <v>6</v>
      </c>
      <c r="G137" s="2">
        <v>89.16</v>
      </c>
      <c r="H137" s="2" t="s">
        <v>30</v>
      </c>
      <c r="I137" s="2" t="s">
        <v>67</v>
      </c>
      <c r="J137" s="2" t="s">
        <v>71</v>
      </c>
      <c r="K137" s="2" t="s">
        <v>48</v>
      </c>
      <c r="L137" s="2">
        <v>2019</v>
      </c>
      <c r="M137" s="2">
        <v>198</v>
      </c>
      <c r="N137" s="2">
        <v>3</v>
      </c>
      <c r="O137" s="2" t="s">
        <v>51</v>
      </c>
      <c r="P137" s="2" t="s">
        <v>51</v>
      </c>
      <c r="Q137" s="2" t="s">
        <v>55</v>
      </c>
      <c r="R137" s="2" t="s">
        <v>51</v>
      </c>
      <c r="S137" s="2">
        <v>6</v>
      </c>
      <c r="T137" s="2">
        <v>3</v>
      </c>
    </row>
    <row r="138" spans="1:20" x14ac:dyDescent="0.2">
      <c r="A138" s="2">
        <f t="shared" si="0"/>
        <v>137</v>
      </c>
      <c r="B138" s="2" t="s">
        <v>62</v>
      </c>
      <c r="C138" s="2">
        <v>2</v>
      </c>
      <c r="D138" s="2">
        <v>3</v>
      </c>
      <c r="E138" s="2">
        <v>16</v>
      </c>
      <c r="F138" s="2">
        <v>37</v>
      </c>
      <c r="G138" s="2">
        <v>177.86</v>
      </c>
      <c r="H138" s="2" t="s">
        <v>23</v>
      </c>
      <c r="I138" s="2" t="s">
        <v>67</v>
      </c>
      <c r="J138" s="2" t="s">
        <v>71</v>
      </c>
      <c r="K138" s="2" t="s">
        <v>48</v>
      </c>
      <c r="L138" s="2">
        <v>2023</v>
      </c>
      <c r="M138" s="2">
        <v>157</v>
      </c>
      <c r="N138" s="2">
        <v>9</v>
      </c>
      <c r="O138" s="2" t="s">
        <v>50</v>
      </c>
      <c r="P138" s="2" t="s">
        <v>51</v>
      </c>
      <c r="Q138" s="2" t="s">
        <v>54</v>
      </c>
      <c r="R138" s="2" t="s">
        <v>50</v>
      </c>
      <c r="S138" s="2">
        <v>7</v>
      </c>
      <c r="T138" s="2">
        <v>8</v>
      </c>
    </row>
    <row r="139" spans="1:20" x14ac:dyDescent="0.2">
      <c r="A139" s="2">
        <f t="shared" si="0"/>
        <v>138</v>
      </c>
      <c r="B139" s="2" t="s">
        <v>62</v>
      </c>
      <c r="C139" s="2">
        <v>2</v>
      </c>
      <c r="D139" s="2">
        <v>4</v>
      </c>
      <c r="E139" s="2">
        <v>63</v>
      </c>
      <c r="F139" s="2">
        <v>41</v>
      </c>
      <c r="G139" s="2">
        <v>178.4</v>
      </c>
      <c r="H139" s="2" t="s">
        <v>31</v>
      </c>
      <c r="I139" s="2" t="s">
        <v>73</v>
      </c>
      <c r="J139" s="2" t="s">
        <v>27</v>
      </c>
      <c r="K139" s="2" t="s">
        <v>47</v>
      </c>
      <c r="L139" s="2">
        <v>2016</v>
      </c>
      <c r="M139" s="2">
        <v>166</v>
      </c>
      <c r="N139" s="2">
        <v>1</v>
      </c>
      <c r="O139" s="2" t="s">
        <v>50</v>
      </c>
      <c r="P139" s="2" t="s">
        <v>51</v>
      </c>
      <c r="Q139" s="2" t="s">
        <v>54</v>
      </c>
      <c r="R139" s="2" t="s">
        <v>50</v>
      </c>
      <c r="S139" s="2">
        <v>9</v>
      </c>
      <c r="T139" s="2">
        <v>5</v>
      </c>
    </row>
    <row r="140" spans="1:20" x14ac:dyDescent="0.2">
      <c r="A140" s="2">
        <f t="shared" si="0"/>
        <v>139</v>
      </c>
      <c r="B140" s="2" t="s">
        <v>62</v>
      </c>
      <c r="C140" s="2">
        <v>1</v>
      </c>
      <c r="D140" s="2">
        <v>5</v>
      </c>
      <c r="E140" s="2">
        <v>7</v>
      </c>
      <c r="F140" s="2">
        <v>42</v>
      </c>
      <c r="G140" s="2">
        <v>176.72</v>
      </c>
      <c r="H140" s="2" t="s">
        <v>26</v>
      </c>
      <c r="I140" s="2" t="s">
        <v>68</v>
      </c>
      <c r="J140" s="2" t="s">
        <v>23</v>
      </c>
      <c r="K140" s="2" t="s">
        <v>48</v>
      </c>
      <c r="L140" s="2">
        <v>2021</v>
      </c>
      <c r="M140" s="2">
        <v>194</v>
      </c>
      <c r="N140" s="2">
        <v>3</v>
      </c>
      <c r="O140" s="2" t="s">
        <v>51</v>
      </c>
      <c r="P140" s="2" t="s">
        <v>50</v>
      </c>
      <c r="Q140" s="2" t="s">
        <v>52</v>
      </c>
      <c r="R140" s="2" t="s">
        <v>51</v>
      </c>
      <c r="S140" s="2">
        <v>6</v>
      </c>
      <c r="T140" s="2">
        <v>3</v>
      </c>
    </row>
    <row r="141" spans="1:20" x14ac:dyDescent="0.2">
      <c r="A141" s="2">
        <f t="shared" si="0"/>
        <v>140</v>
      </c>
      <c r="B141" s="2" t="s">
        <v>62</v>
      </c>
      <c r="C141" s="2">
        <v>2</v>
      </c>
      <c r="D141" s="2">
        <v>7</v>
      </c>
      <c r="E141" s="2">
        <v>53</v>
      </c>
      <c r="F141" s="2">
        <v>36</v>
      </c>
      <c r="G141" s="2">
        <v>65.73</v>
      </c>
      <c r="H141" s="2" t="s">
        <v>27</v>
      </c>
      <c r="I141" s="2" t="s">
        <v>64</v>
      </c>
      <c r="J141" s="2" t="s">
        <v>31</v>
      </c>
      <c r="K141" s="2" t="s">
        <v>48</v>
      </c>
      <c r="L141" s="2">
        <v>2020</v>
      </c>
      <c r="M141" s="2">
        <v>199</v>
      </c>
      <c r="N141" s="2">
        <v>2</v>
      </c>
      <c r="O141" s="2" t="s">
        <v>50</v>
      </c>
      <c r="P141" s="2" t="s">
        <v>51</v>
      </c>
      <c r="Q141" s="2" t="s">
        <v>52</v>
      </c>
      <c r="R141" s="2" t="s">
        <v>51</v>
      </c>
      <c r="S141" s="2">
        <v>3</v>
      </c>
      <c r="T141" s="2">
        <v>0</v>
      </c>
    </row>
    <row r="142" spans="1:20" x14ac:dyDescent="0.2">
      <c r="A142" s="2">
        <f t="shared" si="0"/>
        <v>141</v>
      </c>
      <c r="B142" s="2" t="s">
        <v>62</v>
      </c>
      <c r="C142" s="2">
        <v>2</v>
      </c>
      <c r="D142" s="2">
        <v>2</v>
      </c>
      <c r="E142" s="2">
        <v>57</v>
      </c>
      <c r="F142" s="2">
        <v>24</v>
      </c>
      <c r="G142" s="2">
        <v>235.19</v>
      </c>
      <c r="H142" s="2" t="s">
        <v>30</v>
      </c>
      <c r="I142" s="2" t="s">
        <v>70</v>
      </c>
      <c r="J142" s="2" t="s">
        <v>29</v>
      </c>
      <c r="K142" s="2" t="s">
        <v>65</v>
      </c>
      <c r="L142" s="2">
        <v>2020</v>
      </c>
      <c r="M142" s="2">
        <v>174</v>
      </c>
      <c r="N142" s="2">
        <v>0</v>
      </c>
      <c r="O142" s="2" t="s">
        <v>50</v>
      </c>
      <c r="P142" s="2" t="s">
        <v>50</v>
      </c>
      <c r="Q142" s="2" t="s">
        <v>52</v>
      </c>
      <c r="R142" s="2" t="s">
        <v>51</v>
      </c>
      <c r="S142" s="2">
        <v>1</v>
      </c>
      <c r="T142" s="2">
        <v>6</v>
      </c>
    </row>
    <row r="143" spans="1:20" x14ac:dyDescent="0.2">
      <c r="A143" s="2">
        <f t="shared" si="0"/>
        <v>142</v>
      </c>
      <c r="B143" s="2" t="s">
        <v>62</v>
      </c>
      <c r="C143" s="2">
        <v>1</v>
      </c>
      <c r="D143" s="2">
        <v>2</v>
      </c>
      <c r="E143" s="2">
        <v>35</v>
      </c>
      <c r="F143" s="2">
        <v>38</v>
      </c>
      <c r="G143" s="2">
        <v>190.99</v>
      </c>
      <c r="H143" s="2" t="s">
        <v>31</v>
      </c>
      <c r="I143" s="2" t="s">
        <v>73</v>
      </c>
      <c r="J143" s="2" t="s">
        <v>71</v>
      </c>
      <c r="K143" s="2" t="s">
        <v>49</v>
      </c>
      <c r="L143" s="2">
        <v>2016</v>
      </c>
      <c r="M143" s="2">
        <v>180</v>
      </c>
      <c r="N143" s="2">
        <v>7</v>
      </c>
      <c r="O143" s="2" t="s">
        <v>50</v>
      </c>
      <c r="P143" s="2" t="s">
        <v>51</v>
      </c>
      <c r="Q143" s="2" t="s">
        <v>55</v>
      </c>
      <c r="R143" s="2" t="s">
        <v>50</v>
      </c>
      <c r="S143" s="2">
        <v>0</v>
      </c>
      <c r="T143" s="2">
        <v>7</v>
      </c>
    </row>
    <row r="144" spans="1:20" x14ac:dyDescent="0.2">
      <c r="A144" s="2">
        <f t="shared" si="0"/>
        <v>143</v>
      </c>
      <c r="B144" s="2" t="s">
        <v>62</v>
      </c>
      <c r="C144" s="2">
        <v>1</v>
      </c>
      <c r="D144" s="2">
        <v>1</v>
      </c>
      <c r="E144" s="2">
        <v>3</v>
      </c>
      <c r="F144" s="2">
        <v>22</v>
      </c>
      <c r="G144" s="2">
        <v>143.5</v>
      </c>
      <c r="H144" s="2" t="s">
        <v>23</v>
      </c>
      <c r="I144" s="2" t="s">
        <v>66</v>
      </c>
      <c r="J144" s="2" t="s">
        <v>26</v>
      </c>
      <c r="K144" s="2" t="s">
        <v>47</v>
      </c>
      <c r="L144" s="2">
        <v>2021</v>
      </c>
      <c r="M144" s="2">
        <v>203</v>
      </c>
      <c r="N144" s="2">
        <v>7</v>
      </c>
      <c r="O144" s="2" t="s">
        <v>51</v>
      </c>
      <c r="P144" s="2" t="s">
        <v>51</v>
      </c>
      <c r="Q144" s="2" t="s">
        <v>54</v>
      </c>
      <c r="R144" s="2" t="s">
        <v>50</v>
      </c>
      <c r="S144" s="2">
        <v>9</v>
      </c>
      <c r="T144" s="2">
        <v>7</v>
      </c>
    </row>
    <row r="145" spans="1:20" x14ac:dyDescent="0.2">
      <c r="A145" s="2">
        <f t="shared" si="0"/>
        <v>144</v>
      </c>
      <c r="B145" s="2" t="s">
        <v>62</v>
      </c>
      <c r="C145" s="2">
        <v>2</v>
      </c>
      <c r="D145" s="2">
        <v>8</v>
      </c>
      <c r="E145" s="2">
        <v>35</v>
      </c>
      <c r="F145" s="2">
        <v>36</v>
      </c>
      <c r="G145" s="2">
        <v>219.35</v>
      </c>
      <c r="H145" s="2" t="s">
        <v>29</v>
      </c>
      <c r="I145" s="2" t="s">
        <v>64</v>
      </c>
      <c r="J145" s="2" t="s">
        <v>71</v>
      </c>
      <c r="K145" s="2" t="s">
        <v>47</v>
      </c>
      <c r="L145" s="2">
        <v>2018</v>
      </c>
      <c r="M145" s="2">
        <v>133</v>
      </c>
      <c r="N145" s="2">
        <v>1</v>
      </c>
      <c r="O145" s="2" t="s">
        <v>50</v>
      </c>
      <c r="P145" s="2" t="s">
        <v>50</v>
      </c>
      <c r="Q145" s="2" t="s">
        <v>54</v>
      </c>
      <c r="R145" s="2" t="s">
        <v>50</v>
      </c>
      <c r="S145" s="2">
        <v>3</v>
      </c>
      <c r="T145" s="2">
        <v>3</v>
      </c>
    </row>
    <row r="146" spans="1:20" x14ac:dyDescent="0.2">
      <c r="A146" s="2">
        <f t="shared" si="0"/>
        <v>145</v>
      </c>
      <c r="B146" s="2" t="s">
        <v>62</v>
      </c>
      <c r="C146" s="2">
        <v>2</v>
      </c>
      <c r="D146" s="2">
        <v>1</v>
      </c>
      <c r="E146" s="2">
        <v>1</v>
      </c>
      <c r="F146" s="2">
        <v>25</v>
      </c>
      <c r="G146" s="2">
        <v>145.31</v>
      </c>
      <c r="H146" s="2" t="s">
        <v>24</v>
      </c>
      <c r="I146" s="2" t="s">
        <v>69</v>
      </c>
      <c r="J146" s="2" t="s">
        <v>32</v>
      </c>
      <c r="K146" s="2" t="s">
        <v>48</v>
      </c>
      <c r="L146" s="2">
        <v>2016</v>
      </c>
      <c r="M146" s="2">
        <v>156</v>
      </c>
      <c r="N146" s="2">
        <v>0</v>
      </c>
      <c r="O146" s="2" t="s">
        <v>50</v>
      </c>
      <c r="P146" s="2" t="s">
        <v>50</v>
      </c>
      <c r="Q146" s="2" t="s">
        <v>54</v>
      </c>
      <c r="R146" s="2" t="s">
        <v>50</v>
      </c>
      <c r="S146" s="2">
        <v>4</v>
      </c>
      <c r="T146" s="2">
        <v>5</v>
      </c>
    </row>
    <row r="147" spans="1:20" x14ac:dyDescent="0.2">
      <c r="A147" s="2">
        <f t="shared" si="0"/>
        <v>146</v>
      </c>
      <c r="B147" s="2" t="s">
        <v>62</v>
      </c>
      <c r="C147" s="2">
        <v>2</v>
      </c>
      <c r="D147" s="2">
        <v>4</v>
      </c>
      <c r="E147" s="2">
        <v>76</v>
      </c>
      <c r="F147" s="2">
        <v>29</v>
      </c>
      <c r="G147" s="2">
        <v>183.24</v>
      </c>
      <c r="H147" s="2" t="s">
        <v>26</v>
      </c>
      <c r="I147" s="2" t="s">
        <v>70</v>
      </c>
      <c r="J147" s="2" t="s">
        <v>31</v>
      </c>
      <c r="K147" s="2" t="s">
        <v>49</v>
      </c>
      <c r="L147" s="2">
        <v>2024</v>
      </c>
      <c r="M147" s="2">
        <v>133</v>
      </c>
      <c r="N147" s="2">
        <v>5</v>
      </c>
      <c r="O147" s="2" t="s">
        <v>51</v>
      </c>
      <c r="P147" s="2" t="s">
        <v>51</v>
      </c>
      <c r="Q147" s="2" t="s">
        <v>54</v>
      </c>
      <c r="R147" s="2" t="s">
        <v>51</v>
      </c>
      <c r="S147" s="2">
        <v>10</v>
      </c>
      <c r="T147" s="2">
        <v>6</v>
      </c>
    </row>
    <row r="148" spans="1:20" x14ac:dyDescent="0.2">
      <c r="A148" s="2">
        <f t="shared" si="0"/>
        <v>147</v>
      </c>
      <c r="B148" s="2" t="s">
        <v>62</v>
      </c>
      <c r="C148" s="2">
        <v>2</v>
      </c>
      <c r="D148" s="2">
        <v>11</v>
      </c>
      <c r="E148" s="2">
        <v>51</v>
      </c>
      <c r="F148" s="2">
        <v>10</v>
      </c>
      <c r="G148" s="2">
        <v>231.66</v>
      </c>
      <c r="H148" s="2" t="s">
        <v>22</v>
      </c>
      <c r="I148" s="2" t="s">
        <v>68</v>
      </c>
      <c r="J148" s="2" t="s">
        <v>32</v>
      </c>
      <c r="K148" s="2" t="s">
        <v>47</v>
      </c>
      <c r="L148" s="2">
        <v>2025</v>
      </c>
      <c r="M148" s="2">
        <v>137</v>
      </c>
      <c r="N148" s="2">
        <v>1</v>
      </c>
      <c r="O148" s="2" t="s">
        <v>50</v>
      </c>
      <c r="P148" s="2" t="s">
        <v>50</v>
      </c>
      <c r="Q148" s="2" t="s">
        <v>55</v>
      </c>
      <c r="R148" s="2" t="s">
        <v>50</v>
      </c>
      <c r="S148" s="2">
        <v>8</v>
      </c>
      <c r="T148" s="2">
        <v>6</v>
      </c>
    </row>
    <row r="149" spans="1:20" x14ac:dyDescent="0.2">
      <c r="A149" s="2">
        <f t="shared" si="0"/>
        <v>148</v>
      </c>
      <c r="B149" s="2" t="s">
        <v>62</v>
      </c>
      <c r="C149" s="2">
        <v>2</v>
      </c>
      <c r="D149" s="2">
        <v>8</v>
      </c>
      <c r="E149" s="2">
        <v>15</v>
      </c>
      <c r="F149" s="2">
        <v>30</v>
      </c>
      <c r="G149" s="2">
        <v>183.12</v>
      </c>
      <c r="H149" s="2" t="s">
        <v>30</v>
      </c>
      <c r="I149" s="2" t="s">
        <v>67</v>
      </c>
      <c r="J149" s="2" t="s">
        <v>31</v>
      </c>
      <c r="K149" s="2" t="s">
        <v>48</v>
      </c>
      <c r="L149" s="2">
        <v>2025</v>
      </c>
      <c r="M149" s="2">
        <v>129</v>
      </c>
      <c r="N149" s="2">
        <v>0</v>
      </c>
      <c r="O149" s="2" t="s">
        <v>51</v>
      </c>
      <c r="P149" s="2" t="s">
        <v>51</v>
      </c>
      <c r="Q149" s="2" t="s">
        <v>52</v>
      </c>
      <c r="R149" s="2" t="s">
        <v>51</v>
      </c>
      <c r="S149" s="2">
        <v>10</v>
      </c>
      <c r="T149" s="2">
        <v>0</v>
      </c>
    </row>
    <row r="150" spans="1:20" x14ac:dyDescent="0.2">
      <c r="A150" s="2">
        <f t="shared" si="0"/>
        <v>149</v>
      </c>
      <c r="B150" s="2" t="s">
        <v>62</v>
      </c>
      <c r="C150" s="2">
        <v>2</v>
      </c>
      <c r="D150" s="2">
        <v>10</v>
      </c>
      <c r="E150" s="2">
        <v>76</v>
      </c>
      <c r="F150" s="2">
        <v>17</v>
      </c>
      <c r="G150" s="2">
        <v>165.06</v>
      </c>
      <c r="H150" s="2" t="s">
        <v>27</v>
      </c>
      <c r="I150" s="2" t="s">
        <v>66</v>
      </c>
      <c r="J150" s="2" t="s">
        <v>27</v>
      </c>
      <c r="K150" s="2" t="s">
        <v>48</v>
      </c>
      <c r="L150" s="2">
        <v>2020</v>
      </c>
      <c r="M150" s="2">
        <v>202</v>
      </c>
      <c r="N150" s="2">
        <v>3</v>
      </c>
      <c r="O150" s="2" t="s">
        <v>50</v>
      </c>
      <c r="P150" s="2" t="s">
        <v>51</v>
      </c>
      <c r="Q150" s="2" t="s">
        <v>55</v>
      </c>
      <c r="R150" s="2" t="s">
        <v>50</v>
      </c>
      <c r="S150" s="2">
        <v>6</v>
      </c>
      <c r="T150" s="2">
        <v>4</v>
      </c>
    </row>
    <row r="151" spans="1:20" x14ac:dyDescent="0.2">
      <c r="A151" s="2">
        <f t="shared" si="0"/>
        <v>150</v>
      </c>
      <c r="B151" s="2" t="s">
        <v>62</v>
      </c>
      <c r="C151" s="2">
        <v>1</v>
      </c>
      <c r="D151" s="2">
        <v>6</v>
      </c>
      <c r="E151" s="2">
        <v>77</v>
      </c>
      <c r="F151" s="2">
        <v>2</v>
      </c>
      <c r="G151" s="2">
        <v>106.59</v>
      </c>
      <c r="H151" s="2" t="s">
        <v>22</v>
      </c>
      <c r="I151" s="2" t="s">
        <v>67</v>
      </c>
      <c r="J151" s="2" t="s">
        <v>27</v>
      </c>
      <c r="K151" s="2" t="s">
        <v>47</v>
      </c>
      <c r="L151" s="2">
        <v>2022</v>
      </c>
      <c r="M151" s="2">
        <v>158</v>
      </c>
      <c r="N151" s="2">
        <v>6</v>
      </c>
      <c r="O151" s="2" t="s">
        <v>51</v>
      </c>
      <c r="P151" s="2" t="s">
        <v>50</v>
      </c>
      <c r="Q151" s="2" t="s">
        <v>52</v>
      </c>
      <c r="R151" s="2" t="s">
        <v>50</v>
      </c>
      <c r="S151" s="2">
        <v>1</v>
      </c>
      <c r="T151" s="2">
        <v>8</v>
      </c>
    </row>
    <row r="152" spans="1:20" x14ac:dyDescent="0.2">
      <c r="A152" s="2">
        <f t="shared" si="0"/>
        <v>151</v>
      </c>
      <c r="B152" s="2" t="s">
        <v>62</v>
      </c>
      <c r="C152" s="2">
        <v>1</v>
      </c>
      <c r="D152" s="2">
        <v>7</v>
      </c>
      <c r="E152" s="2">
        <v>18</v>
      </c>
      <c r="F152" s="2">
        <v>43</v>
      </c>
      <c r="G152" s="2">
        <v>153.44</v>
      </c>
      <c r="H152" s="2" t="s">
        <v>26</v>
      </c>
      <c r="I152" s="2" t="s">
        <v>70</v>
      </c>
      <c r="J152" s="2" t="s">
        <v>23</v>
      </c>
      <c r="K152" s="2" t="s">
        <v>65</v>
      </c>
      <c r="L152" s="2">
        <v>2025</v>
      </c>
      <c r="M152" s="2">
        <v>133</v>
      </c>
      <c r="N152" s="2">
        <v>1</v>
      </c>
      <c r="O152" s="2" t="s">
        <v>51</v>
      </c>
      <c r="P152" s="2" t="s">
        <v>51</v>
      </c>
      <c r="Q152" s="2" t="s">
        <v>52</v>
      </c>
      <c r="R152" s="2" t="s">
        <v>51</v>
      </c>
      <c r="S152" s="2">
        <v>8</v>
      </c>
      <c r="T152" s="2">
        <v>8</v>
      </c>
    </row>
    <row r="153" spans="1:20" x14ac:dyDescent="0.2">
      <c r="A153" s="2">
        <f t="shared" si="0"/>
        <v>152</v>
      </c>
      <c r="B153" s="2" t="s">
        <v>62</v>
      </c>
      <c r="C153" s="2">
        <v>2</v>
      </c>
      <c r="D153" s="2">
        <v>7</v>
      </c>
      <c r="E153" s="2">
        <v>9</v>
      </c>
      <c r="F153" s="2">
        <v>46</v>
      </c>
      <c r="G153" s="2">
        <v>139.28</v>
      </c>
      <c r="H153" s="2" t="s">
        <v>22</v>
      </c>
      <c r="I153" s="2" t="s">
        <v>68</v>
      </c>
      <c r="J153" s="2" t="s">
        <v>71</v>
      </c>
      <c r="K153" s="2" t="s">
        <v>49</v>
      </c>
      <c r="L153" s="2">
        <v>2019</v>
      </c>
      <c r="M153" s="2">
        <v>150</v>
      </c>
      <c r="N153" s="2">
        <v>8</v>
      </c>
      <c r="O153" s="2" t="s">
        <v>51</v>
      </c>
      <c r="P153" s="2" t="s">
        <v>50</v>
      </c>
      <c r="Q153" s="2" t="s">
        <v>52</v>
      </c>
      <c r="R153" s="2" t="s">
        <v>51</v>
      </c>
      <c r="S153" s="2">
        <v>2</v>
      </c>
      <c r="T153" s="2">
        <v>6</v>
      </c>
    </row>
    <row r="154" spans="1:20" x14ac:dyDescent="0.2">
      <c r="A154" s="2">
        <f t="shared" si="0"/>
        <v>153</v>
      </c>
      <c r="B154" s="2" t="s">
        <v>62</v>
      </c>
      <c r="C154" s="2">
        <v>1</v>
      </c>
      <c r="D154" s="2">
        <v>4</v>
      </c>
      <c r="E154" s="2">
        <v>17</v>
      </c>
      <c r="F154" s="2">
        <v>33</v>
      </c>
      <c r="G154" s="2">
        <v>52.42</v>
      </c>
      <c r="H154" s="2" t="s">
        <v>30</v>
      </c>
      <c r="I154" s="2" t="s">
        <v>64</v>
      </c>
      <c r="J154" s="2" t="s">
        <v>26</v>
      </c>
      <c r="K154" s="2" t="s">
        <v>65</v>
      </c>
      <c r="L154" s="2">
        <v>2024</v>
      </c>
      <c r="M154" s="2">
        <v>208</v>
      </c>
      <c r="N154" s="2">
        <v>1</v>
      </c>
      <c r="O154" s="2" t="s">
        <v>50</v>
      </c>
      <c r="P154" s="2" t="s">
        <v>50</v>
      </c>
      <c r="Q154" s="2" t="s">
        <v>54</v>
      </c>
      <c r="R154" s="2" t="s">
        <v>51</v>
      </c>
      <c r="S154" s="2">
        <v>2</v>
      </c>
      <c r="T154" s="2">
        <v>6</v>
      </c>
    </row>
    <row r="155" spans="1:20" x14ac:dyDescent="0.2">
      <c r="A155" s="2">
        <f t="shared" si="0"/>
        <v>154</v>
      </c>
      <c r="B155" s="2" t="s">
        <v>62</v>
      </c>
      <c r="C155" s="2">
        <v>1</v>
      </c>
      <c r="D155" s="2">
        <v>8</v>
      </c>
      <c r="E155" s="2">
        <v>65</v>
      </c>
      <c r="F155" s="2">
        <v>1</v>
      </c>
      <c r="G155" s="2">
        <v>201.06</v>
      </c>
      <c r="H155" s="2" t="s">
        <v>26</v>
      </c>
      <c r="I155" s="2" t="s">
        <v>68</v>
      </c>
      <c r="J155" s="2" t="s">
        <v>71</v>
      </c>
      <c r="K155" s="2" t="s">
        <v>47</v>
      </c>
      <c r="L155" s="2">
        <v>2024</v>
      </c>
      <c r="M155" s="2">
        <v>219</v>
      </c>
      <c r="N155" s="2">
        <v>9</v>
      </c>
      <c r="O155" s="2" t="s">
        <v>50</v>
      </c>
      <c r="P155" s="2" t="s">
        <v>50</v>
      </c>
      <c r="Q155" s="2" t="s">
        <v>55</v>
      </c>
      <c r="R155" s="2" t="s">
        <v>51</v>
      </c>
      <c r="S155" s="2">
        <v>2</v>
      </c>
      <c r="T155" s="2">
        <v>6</v>
      </c>
    </row>
    <row r="156" spans="1:20" x14ac:dyDescent="0.2">
      <c r="A156" s="2">
        <f t="shared" si="0"/>
        <v>155</v>
      </c>
      <c r="B156" s="2" t="s">
        <v>62</v>
      </c>
      <c r="C156" s="2">
        <v>1</v>
      </c>
      <c r="D156" s="2">
        <v>11</v>
      </c>
      <c r="E156" s="2">
        <v>49</v>
      </c>
      <c r="F156" s="2">
        <v>44</v>
      </c>
      <c r="G156" s="2">
        <v>195.33</v>
      </c>
      <c r="H156" s="2" t="s">
        <v>24</v>
      </c>
      <c r="I156" s="2" t="s">
        <v>66</v>
      </c>
      <c r="J156" s="2" t="s">
        <v>45</v>
      </c>
      <c r="K156" s="2" t="s">
        <v>48</v>
      </c>
      <c r="L156" s="2">
        <v>2018</v>
      </c>
      <c r="M156" s="2">
        <v>155</v>
      </c>
      <c r="N156" s="2">
        <v>4</v>
      </c>
      <c r="O156" s="2" t="s">
        <v>50</v>
      </c>
      <c r="P156" s="2" t="s">
        <v>50</v>
      </c>
      <c r="Q156" s="2" t="s">
        <v>52</v>
      </c>
      <c r="R156" s="2" t="s">
        <v>51</v>
      </c>
      <c r="S156" s="2">
        <v>1</v>
      </c>
      <c r="T156" s="2">
        <v>2</v>
      </c>
    </row>
    <row r="157" spans="1:20" x14ac:dyDescent="0.2">
      <c r="A157" s="2">
        <f t="shared" si="0"/>
        <v>156</v>
      </c>
      <c r="B157" s="2" t="s">
        <v>62</v>
      </c>
      <c r="C157" s="2">
        <v>1</v>
      </c>
      <c r="D157" s="2">
        <v>2</v>
      </c>
      <c r="E157" s="2">
        <v>29</v>
      </c>
      <c r="F157" s="2">
        <v>50</v>
      </c>
      <c r="G157" s="2">
        <v>196.84</v>
      </c>
      <c r="H157" s="2" t="s">
        <v>27</v>
      </c>
      <c r="I157" s="2" t="s">
        <v>67</v>
      </c>
      <c r="J157" s="2" t="s">
        <v>26</v>
      </c>
      <c r="K157" s="2" t="s">
        <v>49</v>
      </c>
      <c r="L157" s="2">
        <v>2021</v>
      </c>
      <c r="M157" s="2">
        <v>147</v>
      </c>
      <c r="N157" s="2">
        <v>6</v>
      </c>
      <c r="O157" s="2" t="s">
        <v>51</v>
      </c>
      <c r="P157" s="2" t="s">
        <v>51</v>
      </c>
      <c r="Q157" s="2" t="s">
        <v>55</v>
      </c>
      <c r="R157" s="2" t="s">
        <v>50</v>
      </c>
      <c r="S157" s="2">
        <v>1</v>
      </c>
      <c r="T157" s="2">
        <v>6</v>
      </c>
    </row>
    <row r="158" spans="1:20" x14ac:dyDescent="0.2">
      <c r="A158" s="2">
        <f t="shared" si="0"/>
        <v>157</v>
      </c>
      <c r="B158" s="2" t="s">
        <v>62</v>
      </c>
      <c r="C158" s="2">
        <v>2</v>
      </c>
      <c r="D158" s="2">
        <v>1</v>
      </c>
      <c r="E158" s="2">
        <v>41</v>
      </c>
      <c r="F158" s="2">
        <v>15</v>
      </c>
      <c r="G158" s="2">
        <v>70.540000000000006</v>
      </c>
      <c r="H158" s="2" t="s">
        <v>27</v>
      </c>
      <c r="I158" s="2" t="s">
        <v>70</v>
      </c>
      <c r="J158" s="2" t="s">
        <v>45</v>
      </c>
      <c r="K158" s="2" t="s">
        <v>48</v>
      </c>
      <c r="L158" s="2">
        <v>2016</v>
      </c>
      <c r="M158" s="2">
        <v>209</v>
      </c>
      <c r="N158" s="2">
        <v>3</v>
      </c>
      <c r="O158" s="2" t="s">
        <v>51</v>
      </c>
      <c r="P158" s="2" t="s">
        <v>50</v>
      </c>
      <c r="Q158" s="2" t="s">
        <v>55</v>
      </c>
      <c r="R158" s="2" t="s">
        <v>50</v>
      </c>
      <c r="S158" s="2">
        <v>1</v>
      </c>
      <c r="T158" s="2">
        <v>1</v>
      </c>
    </row>
    <row r="159" spans="1:20" x14ac:dyDescent="0.2">
      <c r="A159" s="2">
        <f t="shared" si="0"/>
        <v>158</v>
      </c>
      <c r="B159" s="2" t="s">
        <v>62</v>
      </c>
      <c r="C159" s="2">
        <v>2</v>
      </c>
      <c r="D159" s="2">
        <v>6</v>
      </c>
      <c r="E159" s="2">
        <v>5</v>
      </c>
      <c r="F159" s="2">
        <v>37</v>
      </c>
      <c r="G159" s="2">
        <v>108.93</v>
      </c>
      <c r="H159" s="2" t="s">
        <v>26</v>
      </c>
      <c r="I159" s="2" t="s">
        <v>73</v>
      </c>
      <c r="J159" s="2" t="s">
        <v>26</v>
      </c>
      <c r="K159" s="2" t="s">
        <v>49</v>
      </c>
      <c r="L159" s="2">
        <v>2022</v>
      </c>
      <c r="M159" s="2">
        <v>128</v>
      </c>
      <c r="N159" s="2">
        <v>7</v>
      </c>
      <c r="O159" s="2" t="s">
        <v>50</v>
      </c>
      <c r="P159" s="2" t="s">
        <v>50</v>
      </c>
      <c r="Q159" s="2" t="s">
        <v>52</v>
      </c>
      <c r="R159" s="2" t="s">
        <v>51</v>
      </c>
      <c r="S159" s="2">
        <v>8</v>
      </c>
      <c r="T159" s="2">
        <v>1</v>
      </c>
    </row>
    <row r="160" spans="1:20" x14ac:dyDescent="0.2">
      <c r="A160" s="2">
        <f t="shared" si="0"/>
        <v>159</v>
      </c>
      <c r="B160" s="2" t="s">
        <v>62</v>
      </c>
      <c r="C160" s="2">
        <v>1</v>
      </c>
      <c r="D160" s="2">
        <v>3</v>
      </c>
      <c r="E160" s="2">
        <v>22</v>
      </c>
      <c r="F160" s="2">
        <v>20</v>
      </c>
      <c r="G160" s="2">
        <v>66.39</v>
      </c>
      <c r="H160" s="2" t="s">
        <v>24</v>
      </c>
      <c r="I160" s="2" t="s">
        <v>68</v>
      </c>
      <c r="J160" s="2" t="s">
        <v>71</v>
      </c>
      <c r="K160" s="2" t="s">
        <v>47</v>
      </c>
      <c r="L160" s="2">
        <v>2025</v>
      </c>
      <c r="M160" s="2">
        <v>154</v>
      </c>
      <c r="N160" s="2">
        <v>5</v>
      </c>
      <c r="O160" s="2" t="s">
        <v>50</v>
      </c>
      <c r="P160" s="2" t="s">
        <v>50</v>
      </c>
      <c r="Q160" s="2" t="s">
        <v>52</v>
      </c>
      <c r="R160" s="2" t="s">
        <v>51</v>
      </c>
      <c r="S160" s="2">
        <v>4</v>
      </c>
      <c r="T160" s="2">
        <v>6</v>
      </c>
    </row>
    <row r="161" spans="1:20" x14ac:dyDescent="0.2">
      <c r="A161" s="2">
        <f t="shared" ref="A161:A224" si="1">A160+1</f>
        <v>160</v>
      </c>
      <c r="B161" s="2" t="s">
        <v>62</v>
      </c>
      <c r="C161" s="2">
        <v>2</v>
      </c>
      <c r="D161" s="2">
        <v>10</v>
      </c>
      <c r="E161" s="2">
        <v>56</v>
      </c>
      <c r="F161" s="2">
        <v>33</v>
      </c>
      <c r="G161" s="2">
        <v>125.83</v>
      </c>
      <c r="H161" s="2" t="s">
        <v>22</v>
      </c>
      <c r="I161" s="2" t="s">
        <v>68</v>
      </c>
      <c r="J161" s="2" t="s">
        <v>32</v>
      </c>
      <c r="K161" s="2" t="s">
        <v>65</v>
      </c>
      <c r="L161" s="2">
        <v>2020</v>
      </c>
      <c r="M161" s="2">
        <v>206</v>
      </c>
      <c r="N161" s="2">
        <v>2</v>
      </c>
      <c r="O161" s="2" t="s">
        <v>50</v>
      </c>
      <c r="P161" s="2" t="s">
        <v>51</v>
      </c>
      <c r="Q161" s="2" t="s">
        <v>54</v>
      </c>
      <c r="R161" s="2" t="s">
        <v>51</v>
      </c>
      <c r="S161" s="2">
        <v>7</v>
      </c>
      <c r="T161" s="2">
        <v>8</v>
      </c>
    </row>
    <row r="162" spans="1:20" x14ac:dyDescent="0.2">
      <c r="A162" s="2">
        <f t="shared" si="1"/>
        <v>161</v>
      </c>
      <c r="B162" s="2" t="s">
        <v>62</v>
      </c>
      <c r="C162" s="2">
        <v>1</v>
      </c>
      <c r="D162" s="2">
        <v>5</v>
      </c>
      <c r="E162" s="2">
        <v>54</v>
      </c>
      <c r="F162" s="2">
        <v>30</v>
      </c>
      <c r="G162" s="2">
        <v>117.43</v>
      </c>
      <c r="H162" s="2" t="s">
        <v>27</v>
      </c>
      <c r="I162" s="2" t="s">
        <v>70</v>
      </c>
      <c r="J162" s="2" t="s">
        <v>29</v>
      </c>
      <c r="K162" s="2" t="s">
        <v>48</v>
      </c>
      <c r="L162" s="2">
        <v>2023</v>
      </c>
      <c r="M162" s="2">
        <v>145</v>
      </c>
      <c r="N162" s="2">
        <v>10</v>
      </c>
      <c r="O162" s="2" t="s">
        <v>50</v>
      </c>
      <c r="P162" s="2" t="s">
        <v>51</v>
      </c>
      <c r="Q162" s="2" t="s">
        <v>55</v>
      </c>
      <c r="R162" s="2" t="s">
        <v>51</v>
      </c>
      <c r="S162" s="2">
        <v>1</v>
      </c>
      <c r="T162" s="2">
        <v>1</v>
      </c>
    </row>
    <row r="163" spans="1:20" x14ac:dyDescent="0.2">
      <c r="A163" s="2">
        <f t="shared" si="1"/>
        <v>162</v>
      </c>
      <c r="B163" s="2" t="s">
        <v>62</v>
      </c>
      <c r="C163" s="2">
        <v>2</v>
      </c>
      <c r="D163" s="2">
        <v>11</v>
      </c>
      <c r="E163" s="2">
        <v>69</v>
      </c>
      <c r="F163" s="2">
        <v>12</v>
      </c>
      <c r="G163" s="2">
        <v>184.81</v>
      </c>
      <c r="H163" s="2" t="s">
        <v>29</v>
      </c>
      <c r="I163" s="2" t="s">
        <v>69</v>
      </c>
      <c r="J163" s="2" t="s">
        <v>26</v>
      </c>
      <c r="K163" s="2" t="s">
        <v>49</v>
      </c>
      <c r="L163" s="2">
        <v>2020</v>
      </c>
      <c r="M163" s="2">
        <v>176</v>
      </c>
      <c r="N163" s="2">
        <v>2</v>
      </c>
      <c r="O163" s="2" t="s">
        <v>50</v>
      </c>
      <c r="P163" s="2" t="s">
        <v>50</v>
      </c>
      <c r="Q163" s="2" t="s">
        <v>52</v>
      </c>
      <c r="R163" s="2" t="s">
        <v>50</v>
      </c>
      <c r="S163" s="2">
        <v>6</v>
      </c>
      <c r="T163" s="2">
        <v>4</v>
      </c>
    </row>
    <row r="164" spans="1:20" x14ac:dyDescent="0.2">
      <c r="A164" s="2">
        <f t="shared" si="1"/>
        <v>163</v>
      </c>
      <c r="B164" s="2" t="s">
        <v>62</v>
      </c>
      <c r="C164" s="2">
        <v>2</v>
      </c>
      <c r="D164" s="2">
        <v>3</v>
      </c>
      <c r="E164" s="2">
        <v>38</v>
      </c>
      <c r="F164" s="2">
        <v>10</v>
      </c>
      <c r="G164" s="2">
        <v>230.02</v>
      </c>
      <c r="H164" s="2" t="s">
        <v>24</v>
      </c>
      <c r="I164" s="2" t="s">
        <v>64</v>
      </c>
      <c r="J164" s="2" t="s">
        <v>27</v>
      </c>
      <c r="K164" s="2" t="s">
        <v>47</v>
      </c>
      <c r="L164" s="2">
        <v>2022</v>
      </c>
      <c r="M164" s="2">
        <v>142</v>
      </c>
      <c r="N164" s="2">
        <v>4</v>
      </c>
      <c r="O164" s="2" t="s">
        <v>51</v>
      </c>
      <c r="P164" s="2" t="s">
        <v>50</v>
      </c>
      <c r="Q164" s="2" t="s">
        <v>55</v>
      </c>
      <c r="R164" s="2" t="s">
        <v>51</v>
      </c>
      <c r="S164" s="2">
        <v>0</v>
      </c>
      <c r="T164" s="2">
        <v>3</v>
      </c>
    </row>
    <row r="165" spans="1:20" x14ac:dyDescent="0.2">
      <c r="A165" s="2">
        <f t="shared" si="1"/>
        <v>164</v>
      </c>
      <c r="B165" s="2" t="s">
        <v>62</v>
      </c>
      <c r="C165" s="2">
        <v>1</v>
      </c>
      <c r="D165" s="2">
        <v>9</v>
      </c>
      <c r="E165" s="2">
        <v>69</v>
      </c>
      <c r="F165" s="2">
        <v>44</v>
      </c>
      <c r="G165" s="2">
        <v>158.26</v>
      </c>
      <c r="H165" s="2" t="s">
        <v>24</v>
      </c>
      <c r="I165" s="2" t="s">
        <v>68</v>
      </c>
      <c r="J165" s="2" t="s">
        <v>45</v>
      </c>
      <c r="K165" s="2" t="s">
        <v>48</v>
      </c>
      <c r="L165" s="2">
        <v>2016</v>
      </c>
      <c r="M165" s="2">
        <v>154</v>
      </c>
      <c r="N165" s="2">
        <v>8</v>
      </c>
      <c r="O165" s="2" t="s">
        <v>51</v>
      </c>
      <c r="P165" s="2" t="s">
        <v>50</v>
      </c>
      <c r="Q165" s="2" t="s">
        <v>54</v>
      </c>
      <c r="R165" s="2" t="s">
        <v>51</v>
      </c>
      <c r="S165" s="2">
        <v>9</v>
      </c>
      <c r="T165" s="2">
        <v>3</v>
      </c>
    </row>
    <row r="166" spans="1:20" x14ac:dyDescent="0.2">
      <c r="A166" s="2">
        <f t="shared" si="1"/>
        <v>165</v>
      </c>
      <c r="B166" s="2" t="s">
        <v>62</v>
      </c>
      <c r="C166" s="2">
        <v>1</v>
      </c>
      <c r="D166" s="2">
        <v>7</v>
      </c>
      <c r="E166" s="2">
        <v>50</v>
      </c>
      <c r="F166" s="2">
        <v>48</v>
      </c>
      <c r="G166" s="2">
        <v>237.6</v>
      </c>
      <c r="H166" s="2" t="s">
        <v>22</v>
      </c>
      <c r="I166" s="2" t="s">
        <v>66</v>
      </c>
      <c r="J166" s="2" t="s">
        <v>31</v>
      </c>
      <c r="K166" s="2" t="s">
        <v>65</v>
      </c>
      <c r="L166" s="2">
        <v>2018</v>
      </c>
      <c r="M166" s="2">
        <v>176</v>
      </c>
      <c r="N166" s="2">
        <v>1</v>
      </c>
      <c r="O166" s="2" t="s">
        <v>50</v>
      </c>
      <c r="P166" s="2" t="s">
        <v>50</v>
      </c>
      <c r="Q166" s="2" t="s">
        <v>54</v>
      </c>
      <c r="R166" s="2" t="s">
        <v>51</v>
      </c>
      <c r="S166" s="2">
        <v>2</v>
      </c>
      <c r="T166" s="2">
        <v>2</v>
      </c>
    </row>
    <row r="167" spans="1:20" x14ac:dyDescent="0.2">
      <c r="A167" s="2">
        <f t="shared" si="1"/>
        <v>166</v>
      </c>
      <c r="B167" s="2" t="s">
        <v>62</v>
      </c>
      <c r="C167" s="2">
        <v>1</v>
      </c>
      <c r="D167" s="2">
        <v>6</v>
      </c>
      <c r="E167" s="2">
        <v>8</v>
      </c>
      <c r="F167" s="2">
        <v>22</v>
      </c>
      <c r="G167" s="2">
        <v>180.56</v>
      </c>
      <c r="H167" s="2" t="s">
        <v>29</v>
      </c>
      <c r="I167" s="2" t="s">
        <v>63</v>
      </c>
      <c r="J167" s="2" t="s">
        <v>32</v>
      </c>
      <c r="K167" s="2" t="s">
        <v>49</v>
      </c>
      <c r="L167" s="2">
        <v>2018</v>
      </c>
      <c r="M167" s="2">
        <v>179</v>
      </c>
      <c r="N167" s="2">
        <v>7</v>
      </c>
      <c r="O167" s="2" t="s">
        <v>51</v>
      </c>
      <c r="P167" s="2" t="s">
        <v>51</v>
      </c>
      <c r="Q167" s="2" t="s">
        <v>55</v>
      </c>
      <c r="R167" s="2" t="s">
        <v>51</v>
      </c>
      <c r="S167" s="2">
        <v>3</v>
      </c>
      <c r="T167" s="2">
        <v>4</v>
      </c>
    </row>
    <row r="168" spans="1:20" x14ac:dyDescent="0.2">
      <c r="A168" s="2">
        <f t="shared" si="1"/>
        <v>167</v>
      </c>
      <c r="B168" s="2" t="s">
        <v>62</v>
      </c>
      <c r="C168" s="2">
        <v>2</v>
      </c>
      <c r="D168" s="2">
        <v>3</v>
      </c>
      <c r="E168" s="2">
        <v>33</v>
      </c>
      <c r="F168" s="2">
        <v>37</v>
      </c>
      <c r="G168" s="2">
        <v>143.94</v>
      </c>
      <c r="H168" s="2" t="s">
        <v>30</v>
      </c>
      <c r="I168" s="2" t="s">
        <v>66</v>
      </c>
      <c r="J168" s="2" t="s">
        <v>23</v>
      </c>
      <c r="K168" s="2" t="s">
        <v>65</v>
      </c>
      <c r="L168" s="2">
        <v>2018</v>
      </c>
      <c r="M168" s="2">
        <v>177</v>
      </c>
      <c r="N168" s="2">
        <v>2</v>
      </c>
      <c r="O168" s="2" t="s">
        <v>50</v>
      </c>
      <c r="P168" s="2" t="s">
        <v>51</v>
      </c>
      <c r="Q168" s="2" t="s">
        <v>55</v>
      </c>
      <c r="R168" s="2" t="s">
        <v>50</v>
      </c>
      <c r="S168" s="2">
        <v>4</v>
      </c>
      <c r="T168" s="2">
        <v>3</v>
      </c>
    </row>
    <row r="169" spans="1:20" x14ac:dyDescent="0.2">
      <c r="A169" s="2">
        <f t="shared" si="1"/>
        <v>168</v>
      </c>
      <c r="B169" s="2" t="s">
        <v>62</v>
      </c>
      <c r="C169" s="2">
        <v>2</v>
      </c>
      <c r="D169" s="2">
        <v>8</v>
      </c>
      <c r="E169" s="2">
        <v>75</v>
      </c>
      <c r="F169" s="2">
        <v>22</v>
      </c>
      <c r="G169" s="2">
        <v>244.31</v>
      </c>
      <c r="H169" s="2" t="s">
        <v>26</v>
      </c>
      <c r="I169" s="2" t="s">
        <v>64</v>
      </c>
      <c r="J169" s="2" t="s">
        <v>23</v>
      </c>
      <c r="K169" s="2" t="s">
        <v>48</v>
      </c>
      <c r="L169" s="2">
        <v>2018</v>
      </c>
      <c r="M169" s="2">
        <v>211</v>
      </c>
      <c r="N169" s="2">
        <v>8</v>
      </c>
      <c r="O169" s="2" t="s">
        <v>50</v>
      </c>
      <c r="P169" s="2" t="s">
        <v>51</v>
      </c>
      <c r="Q169" s="2" t="s">
        <v>54</v>
      </c>
      <c r="R169" s="2" t="s">
        <v>51</v>
      </c>
      <c r="S169" s="2">
        <v>6</v>
      </c>
      <c r="T169" s="2">
        <v>1</v>
      </c>
    </row>
    <row r="170" spans="1:20" x14ac:dyDescent="0.2">
      <c r="A170" s="2">
        <f t="shared" si="1"/>
        <v>169</v>
      </c>
      <c r="B170" s="2" t="s">
        <v>62</v>
      </c>
      <c r="C170" s="2">
        <v>2</v>
      </c>
      <c r="D170" s="2">
        <v>11</v>
      </c>
      <c r="E170" s="2">
        <v>33</v>
      </c>
      <c r="F170" s="2">
        <v>12</v>
      </c>
      <c r="G170" s="2">
        <v>74.19</v>
      </c>
      <c r="H170" s="2" t="s">
        <v>30</v>
      </c>
      <c r="I170" s="2" t="s">
        <v>66</v>
      </c>
      <c r="J170" s="2" t="s">
        <v>30</v>
      </c>
      <c r="K170" s="2" t="s">
        <v>47</v>
      </c>
      <c r="L170" s="2">
        <v>2021</v>
      </c>
      <c r="M170" s="2">
        <v>175</v>
      </c>
      <c r="N170" s="2">
        <v>2</v>
      </c>
      <c r="O170" s="2" t="s">
        <v>50</v>
      </c>
      <c r="P170" s="2" t="s">
        <v>50</v>
      </c>
      <c r="Q170" s="2" t="s">
        <v>52</v>
      </c>
      <c r="R170" s="2" t="s">
        <v>50</v>
      </c>
      <c r="S170" s="2">
        <v>5</v>
      </c>
      <c r="T170" s="2">
        <v>0</v>
      </c>
    </row>
    <row r="171" spans="1:20" x14ac:dyDescent="0.2">
      <c r="A171" s="2">
        <f t="shared" si="1"/>
        <v>170</v>
      </c>
      <c r="B171" s="2" t="s">
        <v>62</v>
      </c>
      <c r="C171" s="2">
        <v>1</v>
      </c>
      <c r="D171" s="2">
        <v>11</v>
      </c>
      <c r="E171" s="2">
        <v>17</v>
      </c>
      <c r="F171" s="2">
        <v>12</v>
      </c>
      <c r="G171" s="2">
        <v>219.23</v>
      </c>
      <c r="H171" s="2" t="s">
        <v>26</v>
      </c>
      <c r="I171" s="2" t="s">
        <v>72</v>
      </c>
      <c r="J171" s="2" t="s">
        <v>26</v>
      </c>
      <c r="K171" s="2" t="s">
        <v>47</v>
      </c>
      <c r="L171" s="2">
        <v>2022</v>
      </c>
      <c r="M171" s="2">
        <v>147</v>
      </c>
      <c r="N171" s="2">
        <v>4</v>
      </c>
      <c r="O171" s="2" t="s">
        <v>50</v>
      </c>
      <c r="P171" s="2" t="s">
        <v>50</v>
      </c>
      <c r="Q171" s="2" t="s">
        <v>54</v>
      </c>
      <c r="R171" s="2" t="s">
        <v>50</v>
      </c>
      <c r="S171" s="2">
        <v>8</v>
      </c>
      <c r="T171" s="2">
        <v>7</v>
      </c>
    </row>
    <row r="172" spans="1:20" x14ac:dyDescent="0.2">
      <c r="A172" s="2">
        <f t="shared" si="1"/>
        <v>171</v>
      </c>
      <c r="B172" s="2" t="s">
        <v>62</v>
      </c>
      <c r="C172" s="2">
        <v>2</v>
      </c>
      <c r="D172" s="2">
        <v>1</v>
      </c>
      <c r="E172" s="2">
        <v>0</v>
      </c>
      <c r="F172" s="2">
        <v>1</v>
      </c>
      <c r="G172" s="2">
        <v>180.62</v>
      </c>
      <c r="H172" s="2" t="s">
        <v>22</v>
      </c>
      <c r="I172" s="2" t="s">
        <v>67</v>
      </c>
      <c r="J172" s="2" t="s">
        <v>23</v>
      </c>
      <c r="K172" s="2" t="s">
        <v>49</v>
      </c>
      <c r="L172" s="2">
        <v>2016</v>
      </c>
      <c r="M172" s="2">
        <v>141</v>
      </c>
      <c r="N172" s="2">
        <v>10</v>
      </c>
      <c r="O172" s="2" t="s">
        <v>51</v>
      </c>
      <c r="P172" s="2" t="s">
        <v>51</v>
      </c>
      <c r="Q172" s="2" t="s">
        <v>52</v>
      </c>
      <c r="R172" s="2" t="s">
        <v>51</v>
      </c>
      <c r="S172" s="2">
        <v>3</v>
      </c>
      <c r="T172" s="2">
        <v>1</v>
      </c>
    </row>
    <row r="173" spans="1:20" x14ac:dyDescent="0.2">
      <c r="A173" s="2">
        <f t="shared" si="1"/>
        <v>172</v>
      </c>
      <c r="B173" s="2" t="s">
        <v>62</v>
      </c>
      <c r="C173" s="2">
        <v>1</v>
      </c>
      <c r="D173" s="2">
        <v>6</v>
      </c>
      <c r="E173" s="2">
        <v>10</v>
      </c>
      <c r="F173" s="2">
        <v>46</v>
      </c>
      <c r="G173" s="2">
        <v>218.36</v>
      </c>
      <c r="H173" s="2" t="s">
        <v>24</v>
      </c>
      <c r="I173" s="2" t="s">
        <v>69</v>
      </c>
      <c r="J173" s="2" t="s">
        <v>23</v>
      </c>
      <c r="K173" s="2" t="s">
        <v>48</v>
      </c>
      <c r="L173" s="2">
        <v>2023</v>
      </c>
      <c r="M173" s="2">
        <v>189</v>
      </c>
      <c r="N173" s="2">
        <v>1</v>
      </c>
      <c r="O173" s="2" t="s">
        <v>51</v>
      </c>
      <c r="P173" s="2" t="s">
        <v>50</v>
      </c>
      <c r="Q173" s="2" t="s">
        <v>54</v>
      </c>
      <c r="R173" s="2" t="s">
        <v>50</v>
      </c>
      <c r="S173" s="2">
        <v>5</v>
      </c>
      <c r="T173" s="2">
        <v>3</v>
      </c>
    </row>
    <row r="174" spans="1:20" x14ac:dyDescent="0.2">
      <c r="A174" s="2">
        <f t="shared" si="1"/>
        <v>173</v>
      </c>
      <c r="B174" s="2" t="s">
        <v>62</v>
      </c>
      <c r="C174" s="2">
        <v>1</v>
      </c>
      <c r="D174" s="2">
        <v>9</v>
      </c>
      <c r="E174" s="2">
        <v>31</v>
      </c>
      <c r="F174" s="2">
        <v>36</v>
      </c>
      <c r="G174" s="2">
        <v>95.4</v>
      </c>
      <c r="H174" s="2" t="s">
        <v>22</v>
      </c>
      <c r="I174" s="2" t="s">
        <v>68</v>
      </c>
      <c r="J174" s="2" t="s">
        <v>32</v>
      </c>
      <c r="K174" s="2" t="s">
        <v>65</v>
      </c>
      <c r="L174" s="2">
        <v>2020</v>
      </c>
      <c r="M174" s="2">
        <v>180</v>
      </c>
      <c r="N174" s="2">
        <v>3</v>
      </c>
      <c r="O174" s="2" t="s">
        <v>50</v>
      </c>
      <c r="P174" s="2" t="s">
        <v>50</v>
      </c>
      <c r="Q174" s="2" t="s">
        <v>54</v>
      </c>
      <c r="R174" s="2" t="s">
        <v>50</v>
      </c>
      <c r="S174" s="2">
        <v>1</v>
      </c>
      <c r="T174" s="2">
        <v>5</v>
      </c>
    </row>
    <row r="175" spans="1:20" x14ac:dyDescent="0.2">
      <c r="A175" s="2">
        <f t="shared" si="1"/>
        <v>174</v>
      </c>
      <c r="B175" s="2" t="s">
        <v>62</v>
      </c>
      <c r="C175" s="2">
        <v>1</v>
      </c>
      <c r="D175" s="2">
        <v>4</v>
      </c>
      <c r="E175" s="2">
        <v>51</v>
      </c>
      <c r="F175" s="2">
        <v>33</v>
      </c>
      <c r="G175" s="2">
        <v>159.49</v>
      </c>
      <c r="H175" s="2" t="s">
        <v>23</v>
      </c>
      <c r="I175" s="2" t="s">
        <v>70</v>
      </c>
      <c r="J175" s="2" t="s">
        <v>71</v>
      </c>
      <c r="K175" s="2" t="s">
        <v>47</v>
      </c>
      <c r="L175" s="2">
        <v>2021</v>
      </c>
      <c r="M175" s="2">
        <v>167</v>
      </c>
      <c r="N175" s="2">
        <v>9</v>
      </c>
      <c r="O175" s="2" t="s">
        <v>50</v>
      </c>
      <c r="P175" s="2" t="s">
        <v>50</v>
      </c>
      <c r="Q175" s="2" t="s">
        <v>52</v>
      </c>
      <c r="R175" s="2" t="s">
        <v>50</v>
      </c>
      <c r="S175" s="2">
        <v>5</v>
      </c>
      <c r="T175" s="2">
        <v>8</v>
      </c>
    </row>
    <row r="176" spans="1:20" x14ac:dyDescent="0.2">
      <c r="A176" s="2">
        <f t="shared" si="1"/>
        <v>175</v>
      </c>
      <c r="B176" s="2" t="s">
        <v>62</v>
      </c>
      <c r="C176" s="2">
        <v>1</v>
      </c>
      <c r="D176" s="2">
        <v>6</v>
      </c>
      <c r="E176" s="2">
        <v>3</v>
      </c>
      <c r="F176" s="2">
        <v>13</v>
      </c>
      <c r="G176" s="2">
        <v>234.05</v>
      </c>
      <c r="H176" s="2" t="s">
        <v>30</v>
      </c>
      <c r="I176" s="2" t="s">
        <v>69</v>
      </c>
      <c r="J176" s="2" t="s">
        <v>23</v>
      </c>
      <c r="K176" s="2" t="s">
        <v>47</v>
      </c>
      <c r="L176" s="2">
        <v>2019</v>
      </c>
      <c r="M176" s="2">
        <v>186</v>
      </c>
      <c r="N176" s="2">
        <v>6</v>
      </c>
      <c r="O176" s="2" t="s">
        <v>51</v>
      </c>
      <c r="P176" s="2" t="s">
        <v>50</v>
      </c>
      <c r="Q176" s="2" t="s">
        <v>54</v>
      </c>
      <c r="R176" s="2" t="s">
        <v>51</v>
      </c>
      <c r="S176" s="2">
        <v>4</v>
      </c>
      <c r="T176" s="2">
        <v>8</v>
      </c>
    </row>
    <row r="177" spans="1:20" x14ac:dyDescent="0.2">
      <c r="A177" s="2">
        <f t="shared" si="1"/>
        <v>176</v>
      </c>
      <c r="B177" s="2" t="s">
        <v>62</v>
      </c>
      <c r="C177" s="2">
        <v>1</v>
      </c>
      <c r="D177" s="2">
        <v>7</v>
      </c>
      <c r="E177" s="2">
        <v>47</v>
      </c>
      <c r="F177" s="2">
        <v>13</v>
      </c>
      <c r="G177" s="2">
        <v>67.260000000000005</v>
      </c>
      <c r="H177" s="2" t="s">
        <v>32</v>
      </c>
      <c r="I177" s="2" t="s">
        <v>63</v>
      </c>
      <c r="J177" s="2" t="s">
        <v>45</v>
      </c>
      <c r="K177" s="2" t="s">
        <v>48</v>
      </c>
      <c r="L177" s="2">
        <v>2025</v>
      </c>
      <c r="M177" s="2">
        <v>212</v>
      </c>
      <c r="N177" s="2">
        <v>8</v>
      </c>
      <c r="O177" s="2" t="s">
        <v>51</v>
      </c>
      <c r="P177" s="2" t="s">
        <v>51</v>
      </c>
      <c r="Q177" s="2" t="s">
        <v>54</v>
      </c>
      <c r="R177" s="2" t="s">
        <v>51</v>
      </c>
      <c r="S177" s="2">
        <v>6</v>
      </c>
      <c r="T177" s="2">
        <v>8</v>
      </c>
    </row>
    <row r="178" spans="1:20" x14ac:dyDescent="0.2">
      <c r="A178" s="2">
        <f t="shared" si="1"/>
        <v>177</v>
      </c>
      <c r="B178" s="2" t="s">
        <v>62</v>
      </c>
      <c r="C178" s="2">
        <v>1</v>
      </c>
      <c r="D178" s="2">
        <v>2</v>
      </c>
      <c r="E178" s="2">
        <v>57</v>
      </c>
      <c r="F178" s="2">
        <v>13</v>
      </c>
      <c r="G178" s="2">
        <v>105.14</v>
      </c>
      <c r="H178" s="2" t="s">
        <v>26</v>
      </c>
      <c r="I178" s="2" t="s">
        <v>66</v>
      </c>
      <c r="J178" s="2" t="s">
        <v>26</v>
      </c>
      <c r="K178" s="2" t="s">
        <v>47</v>
      </c>
      <c r="L178" s="2">
        <v>2018</v>
      </c>
      <c r="M178" s="2">
        <v>210</v>
      </c>
      <c r="N178" s="2">
        <v>10</v>
      </c>
      <c r="O178" s="2" t="s">
        <v>50</v>
      </c>
      <c r="P178" s="2" t="s">
        <v>50</v>
      </c>
      <c r="Q178" s="2" t="s">
        <v>54</v>
      </c>
      <c r="R178" s="2" t="s">
        <v>51</v>
      </c>
      <c r="S178" s="2">
        <v>5</v>
      </c>
      <c r="T178" s="2">
        <v>8</v>
      </c>
    </row>
    <row r="179" spans="1:20" x14ac:dyDescent="0.2">
      <c r="A179" s="2">
        <f t="shared" si="1"/>
        <v>178</v>
      </c>
      <c r="B179" s="2" t="s">
        <v>62</v>
      </c>
      <c r="C179" s="2">
        <v>2</v>
      </c>
      <c r="D179" s="2">
        <v>2</v>
      </c>
      <c r="E179" s="2">
        <v>26</v>
      </c>
      <c r="F179" s="2">
        <v>8</v>
      </c>
      <c r="G179" s="2">
        <v>185.73</v>
      </c>
      <c r="H179" s="2" t="s">
        <v>22</v>
      </c>
      <c r="I179" s="2" t="s">
        <v>69</v>
      </c>
      <c r="J179" s="2" t="s">
        <v>32</v>
      </c>
      <c r="K179" s="2" t="s">
        <v>65</v>
      </c>
      <c r="L179" s="2">
        <v>2021</v>
      </c>
      <c r="M179" s="2">
        <v>140</v>
      </c>
      <c r="N179" s="2">
        <v>1</v>
      </c>
      <c r="O179" s="2" t="s">
        <v>50</v>
      </c>
      <c r="P179" s="2" t="s">
        <v>50</v>
      </c>
      <c r="Q179" s="2" t="s">
        <v>54</v>
      </c>
      <c r="R179" s="2" t="s">
        <v>51</v>
      </c>
      <c r="S179" s="2">
        <v>7</v>
      </c>
      <c r="T179" s="2">
        <v>2</v>
      </c>
    </row>
    <row r="180" spans="1:20" x14ac:dyDescent="0.2">
      <c r="A180" s="2">
        <f t="shared" si="1"/>
        <v>179</v>
      </c>
      <c r="B180" s="2" t="s">
        <v>62</v>
      </c>
      <c r="C180" s="2">
        <v>2</v>
      </c>
      <c r="D180" s="2">
        <v>1</v>
      </c>
      <c r="E180" s="2">
        <v>69</v>
      </c>
      <c r="F180" s="2">
        <v>22</v>
      </c>
      <c r="G180" s="2">
        <v>126.73</v>
      </c>
      <c r="H180" s="2" t="s">
        <v>30</v>
      </c>
      <c r="I180" s="2" t="s">
        <v>66</v>
      </c>
      <c r="J180" s="2" t="s">
        <v>71</v>
      </c>
      <c r="K180" s="2" t="s">
        <v>48</v>
      </c>
      <c r="L180" s="2">
        <v>2021</v>
      </c>
      <c r="M180" s="2">
        <v>211</v>
      </c>
      <c r="N180" s="2">
        <v>7</v>
      </c>
      <c r="O180" s="2" t="s">
        <v>51</v>
      </c>
      <c r="P180" s="2" t="s">
        <v>51</v>
      </c>
      <c r="Q180" s="2" t="s">
        <v>54</v>
      </c>
      <c r="R180" s="2" t="s">
        <v>51</v>
      </c>
      <c r="S180" s="2">
        <v>2</v>
      </c>
      <c r="T180" s="2">
        <v>8</v>
      </c>
    </row>
    <row r="181" spans="1:20" x14ac:dyDescent="0.2">
      <c r="A181" s="2">
        <f t="shared" si="1"/>
        <v>180</v>
      </c>
      <c r="B181" s="2" t="s">
        <v>62</v>
      </c>
      <c r="C181" s="2">
        <v>2</v>
      </c>
      <c r="D181" s="2">
        <v>8</v>
      </c>
      <c r="E181" s="2">
        <v>54</v>
      </c>
      <c r="F181" s="2">
        <v>17</v>
      </c>
      <c r="G181" s="2">
        <v>225.39</v>
      </c>
      <c r="H181" s="2" t="s">
        <v>32</v>
      </c>
      <c r="I181" s="2" t="s">
        <v>73</v>
      </c>
      <c r="J181" s="2" t="s">
        <v>32</v>
      </c>
      <c r="K181" s="2" t="s">
        <v>65</v>
      </c>
      <c r="L181" s="2">
        <v>2019</v>
      </c>
      <c r="M181" s="2">
        <v>131</v>
      </c>
      <c r="N181" s="2">
        <v>2</v>
      </c>
      <c r="O181" s="2" t="s">
        <v>51</v>
      </c>
      <c r="P181" s="2" t="s">
        <v>51</v>
      </c>
      <c r="Q181" s="2" t="s">
        <v>55</v>
      </c>
      <c r="R181" s="2" t="s">
        <v>51</v>
      </c>
      <c r="S181" s="2">
        <v>1</v>
      </c>
      <c r="T181" s="2">
        <v>0</v>
      </c>
    </row>
    <row r="182" spans="1:20" x14ac:dyDescent="0.2">
      <c r="A182" s="2">
        <f t="shared" si="1"/>
        <v>181</v>
      </c>
      <c r="B182" s="2" t="s">
        <v>62</v>
      </c>
      <c r="C182" s="2">
        <v>1</v>
      </c>
      <c r="D182" s="2">
        <v>10</v>
      </c>
      <c r="E182" s="2">
        <v>25</v>
      </c>
      <c r="F182" s="2">
        <v>28</v>
      </c>
      <c r="G182" s="2">
        <v>205.32</v>
      </c>
      <c r="H182" s="2" t="s">
        <v>31</v>
      </c>
      <c r="I182" s="2" t="s">
        <v>69</v>
      </c>
      <c r="J182" s="2" t="s">
        <v>45</v>
      </c>
      <c r="K182" s="2" t="s">
        <v>48</v>
      </c>
      <c r="L182" s="2">
        <v>2022</v>
      </c>
      <c r="M182" s="2">
        <v>160</v>
      </c>
      <c r="N182" s="2">
        <v>8</v>
      </c>
      <c r="O182" s="2" t="s">
        <v>50</v>
      </c>
      <c r="P182" s="2" t="s">
        <v>51</v>
      </c>
      <c r="Q182" s="2" t="s">
        <v>54</v>
      </c>
      <c r="R182" s="2" t="s">
        <v>50</v>
      </c>
      <c r="S182" s="2">
        <v>2</v>
      </c>
      <c r="T182" s="2">
        <v>3</v>
      </c>
    </row>
    <row r="183" spans="1:20" x14ac:dyDescent="0.2">
      <c r="A183" s="2">
        <f t="shared" si="1"/>
        <v>182</v>
      </c>
      <c r="B183" s="2" t="s">
        <v>62</v>
      </c>
      <c r="C183" s="2">
        <v>2</v>
      </c>
      <c r="D183" s="2">
        <v>10</v>
      </c>
      <c r="E183" s="2">
        <v>61</v>
      </c>
      <c r="F183" s="2">
        <v>26</v>
      </c>
      <c r="G183" s="2">
        <v>82.45</v>
      </c>
      <c r="H183" s="2" t="s">
        <v>27</v>
      </c>
      <c r="I183" s="2" t="s">
        <v>69</v>
      </c>
      <c r="J183" s="2" t="s">
        <v>27</v>
      </c>
      <c r="K183" s="2" t="s">
        <v>47</v>
      </c>
      <c r="L183" s="2">
        <v>2024</v>
      </c>
      <c r="M183" s="2">
        <v>215</v>
      </c>
      <c r="N183" s="2">
        <v>1</v>
      </c>
      <c r="O183" s="2" t="s">
        <v>50</v>
      </c>
      <c r="P183" s="2" t="s">
        <v>50</v>
      </c>
      <c r="Q183" s="2" t="s">
        <v>54</v>
      </c>
      <c r="R183" s="2" t="s">
        <v>51</v>
      </c>
      <c r="S183" s="2">
        <v>6</v>
      </c>
      <c r="T183" s="2">
        <v>7</v>
      </c>
    </row>
    <row r="184" spans="1:20" x14ac:dyDescent="0.2">
      <c r="A184" s="2">
        <f t="shared" si="1"/>
        <v>183</v>
      </c>
      <c r="B184" s="2" t="s">
        <v>62</v>
      </c>
      <c r="C184" s="2">
        <v>1</v>
      </c>
      <c r="D184" s="2">
        <v>1</v>
      </c>
      <c r="E184" s="2">
        <v>21</v>
      </c>
      <c r="F184" s="2">
        <v>33</v>
      </c>
      <c r="G184" s="2">
        <v>215.97</v>
      </c>
      <c r="H184" s="2" t="s">
        <v>29</v>
      </c>
      <c r="I184" s="2" t="s">
        <v>64</v>
      </c>
      <c r="J184" s="2" t="s">
        <v>27</v>
      </c>
      <c r="K184" s="2" t="s">
        <v>65</v>
      </c>
      <c r="L184" s="2">
        <v>2022</v>
      </c>
      <c r="M184" s="2">
        <v>129</v>
      </c>
      <c r="N184" s="2">
        <v>1</v>
      </c>
      <c r="O184" s="2" t="s">
        <v>51</v>
      </c>
      <c r="P184" s="2" t="s">
        <v>50</v>
      </c>
      <c r="Q184" s="2" t="s">
        <v>54</v>
      </c>
      <c r="R184" s="2" t="s">
        <v>50</v>
      </c>
      <c r="S184" s="2">
        <v>4</v>
      </c>
      <c r="T184" s="2">
        <v>3</v>
      </c>
    </row>
    <row r="185" spans="1:20" x14ac:dyDescent="0.2">
      <c r="A185" s="2">
        <f t="shared" si="1"/>
        <v>184</v>
      </c>
      <c r="B185" s="2" t="s">
        <v>62</v>
      </c>
      <c r="C185" s="2">
        <v>1</v>
      </c>
      <c r="D185" s="2">
        <v>1</v>
      </c>
      <c r="E185" s="2">
        <v>3</v>
      </c>
      <c r="F185" s="2">
        <v>9</v>
      </c>
      <c r="G185" s="2">
        <v>210.7</v>
      </c>
      <c r="H185" s="2" t="s">
        <v>22</v>
      </c>
      <c r="I185" s="2" t="s">
        <v>70</v>
      </c>
      <c r="J185" s="2" t="s">
        <v>32</v>
      </c>
      <c r="K185" s="2" t="s">
        <v>49</v>
      </c>
      <c r="L185" s="2">
        <v>2025</v>
      </c>
      <c r="M185" s="2">
        <v>153</v>
      </c>
      <c r="N185" s="2">
        <v>2</v>
      </c>
      <c r="O185" s="2" t="s">
        <v>51</v>
      </c>
      <c r="P185" s="2" t="s">
        <v>50</v>
      </c>
      <c r="Q185" s="2" t="s">
        <v>52</v>
      </c>
      <c r="R185" s="2" t="s">
        <v>50</v>
      </c>
      <c r="S185" s="2">
        <v>10</v>
      </c>
      <c r="T185" s="2">
        <v>8</v>
      </c>
    </row>
    <row r="186" spans="1:20" x14ac:dyDescent="0.2">
      <c r="A186" s="2">
        <f t="shared" si="1"/>
        <v>185</v>
      </c>
      <c r="B186" s="2" t="s">
        <v>62</v>
      </c>
      <c r="C186" s="2">
        <v>1</v>
      </c>
      <c r="D186" s="2">
        <v>4</v>
      </c>
      <c r="E186" s="2">
        <v>40</v>
      </c>
      <c r="F186" s="2">
        <v>6</v>
      </c>
      <c r="G186" s="2">
        <v>124.06</v>
      </c>
      <c r="H186" s="2" t="s">
        <v>24</v>
      </c>
      <c r="I186" s="2" t="s">
        <v>70</v>
      </c>
      <c r="J186" s="2" t="s">
        <v>71</v>
      </c>
      <c r="K186" s="2" t="s">
        <v>49</v>
      </c>
      <c r="L186" s="2">
        <v>2024</v>
      </c>
      <c r="M186" s="2">
        <v>142</v>
      </c>
      <c r="N186" s="2">
        <v>10</v>
      </c>
      <c r="O186" s="2" t="s">
        <v>51</v>
      </c>
      <c r="P186" s="2" t="s">
        <v>50</v>
      </c>
      <c r="Q186" s="2" t="s">
        <v>52</v>
      </c>
      <c r="R186" s="2" t="s">
        <v>51</v>
      </c>
      <c r="S186" s="2">
        <v>6</v>
      </c>
      <c r="T186" s="2">
        <v>8</v>
      </c>
    </row>
    <row r="187" spans="1:20" x14ac:dyDescent="0.2">
      <c r="A187" s="2">
        <f t="shared" si="1"/>
        <v>186</v>
      </c>
      <c r="B187" s="2" t="s">
        <v>62</v>
      </c>
      <c r="C187" s="2">
        <v>2</v>
      </c>
      <c r="D187" s="2">
        <v>2</v>
      </c>
      <c r="E187" s="2">
        <v>39</v>
      </c>
      <c r="F187" s="2">
        <v>15</v>
      </c>
      <c r="G187" s="2">
        <v>180.57</v>
      </c>
      <c r="H187" s="2" t="s">
        <v>22</v>
      </c>
      <c r="I187" s="2" t="s">
        <v>63</v>
      </c>
      <c r="J187" s="2" t="s">
        <v>32</v>
      </c>
      <c r="K187" s="2" t="s">
        <v>49</v>
      </c>
      <c r="L187" s="2">
        <v>2024</v>
      </c>
      <c r="M187" s="2">
        <v>124</v>
      </c>
      <c r="N187" s="2">
        <v>6</v>
      </c>
      <c r="O187" s="2" t="s">
        <v>50</v>
      </c>
      <c r="P187" s="2" t="s">
        <v>51</v>
      </c>
      <c r="Q187" s="2" t="s">
        <v>52</v>
      </c>
      <c r="R187" s="2" t="s">
        <v>50</v>
      </c>
      <c r="S187" s="2">
        <v>0</v>
      </c>
      <c r="T187" s="2">
        <v>1</v>
      </c>
    </row>
    <row r="188" spans="1:20" x14ac:dyDescent="0.2">
      <c r="A188" s="2">
        <f t="shared" si="1"/>
        <v>187</v>
      </c>
      <c r="B188" s="2" t="s">
        <v>62</v>
      </c>
      <c r="C188" s="2">
        <v>2</v>
      </c>
      <c r="D188" s="2">
        <v>9</v>
      </c>
      <c r="E188" s="2">
        <v>80</v>
      </c>
      <c r="F188" s="2">
        <v>6</v>
      </c>
      <c r="G188" s="2">
        <v>155.47</v>
      </c>
      <c r="H188" s="2" t="s">
        <v>29</v>
      </c>
      <c r="I188" s="2" t="s">
        <v>66</v>
      </c>
      <c r="J188" s="2" t="s">
        <v>26</v>
      </c>
      <c r="K188" s="2" t="s">
        <v>47</v>
      </c>
      <c r="L188" s="2">
        <v>2018</v>
      </c>
      <c r="M188" s="2">
        <v>215</v>
      </c>
      <c r="N188" s="2">
        <v>7</v>
      </c>
      <c r="O188" s="2" t="s">
        <v>50</v>
      </c>
      <c r="P188" s="2" t="s">
        <v>51</v>
      </c>
      <c r="Q188" s="2" t="s">
        <v>54</v>
      </c>
      <c r="R188" s="2" t="s">
        <v>51</v>
      </c>
      <c r="S188" s="2">
        <v>4</v>
      </c>
      <c r="T188" s="2">
        <v>6</v>
      </c>
    </row>
    <row r="189" spans="1:20" x14ac:dyDescent="0.2">
      <c r="A189" s="2">
        <f t="shared" si="1"/>
        <v>188</v>
      </c>
      <c r="B189" s="2" t="s">
        <v>62</v>
      </c>
      <c r="C189" s="2">
        <v>2</v>
      </c>
      <c r="D189" s="2">
        <v>9</v>
      </c>
      <c r="E189" s="2">
        <v>21</v>
      </c>
      <c r="F189" s="2">
        <v>28</v>
      </c>
      <c r="G189" s="2">
        <v>193.83</v>
      </c>
      <c r="H189" s="2" t="s">
        <v>26</v>
      </c>
      <c r="I189" s="2" t="s">
        <v>68</v>
      </c>
      <c r="J189" s="2" t="s">
        <v>26</v>
      </c>
      <c r="K189" s="2" t="s">
        <v>65</v>
      </c>
      <c r="L189" s="2">
        <v>2019</v>
      </c>
      <c r="M189" s="2">
        <v>167</v>
      </c>
      <c r="N189" s="2">
        <v>3</v>
      </c>
      <c r="O189" s="2" t="s">
        <v>51</v>
      </c>
      <c r="P189" s="2" t="s">
        <v>51</v>
      </c>
      <c r="Q189" s="2" t="s">
        <v>55</v>
      </c>
      <c r="R189" s="2" t="s">
        <v>51</v>
      </c>
      <c r="S189" s="2">
        <v>3</v>
      </c>
      <c r="T189" s="2">
        <v>2</v>
      </c>
    </row>
    <row r="190" spans="1:20" x14ac:dyDescent="0.2">
      <c r="A190" s="2">
        <f t="shared" si="1"/>
        <v>189</v>
      </c>
      <c r="B190" s="2" t="s">
        <v>62</v>
      </c>
      <c r="C190" s="2">
        <v>2</v>
      </c>
      <c r="D190" s="2">
        <v>4</v>
      </c>
      <c r="E190" s="2">
        <v>37</v>
      </c>
      <c r="F190" s="2">
        <v>3</v>
      </c>
      <c r="G190" s="2">
        <v>130.77000000000001</v>
      </c>
      <c r="H190" s="2" t="s">
        <v>22</v>
      </c>
      <c r="I190" s="2" t="s">
        <v>69</v>
      </c>
      <c r="J190" s="2" t="s">
        <v>31</v>
      </c>
      <c r="K190" s="2" t="s">
        <v>48</v>
      </c>
      <c r="L190" s="2">
        <v>2022</v>
      </c>
      <c r="M190" s="2">
        <v>194</v>
      </c>
      <c r="N190" s="2">
        <v>8</v>
      </c>
      <c r="O190" s="2" t="s">
        <v>51</v>
      </c>
      <c r="P190" s="2" t="s">
        <v>51</v>
      </c>
      <c r="Q190" s="2" t="s">
        <v>55</v>
      </c>
      <c r="R190" s="2" t="s">
        <v>50</v>
      </c>
      <c r="S190" s="2">
        <v>7</v>
      </c>
      <c r="T190" s="2">
        <v>5</v>
      </c>
    </row>
    <row r="191" spans="1:20" x14ac:dyDescent="0.2">
      <c r="A191" s="2">
        <f t="shared" si="1"/>
        <v>190</v>
      </c>
      <c r="B191" s="2" t="s">
        <v>62</v>
      </c>
      <c r="C191" s="2">
        <v>1</v>
      </c>
      <c r="D191" s="2">
        <v>10</v>
      </c>
      <c r="E191" s="2">
        <v>23</v>
      </c>
      <c r="F191" s="2">
        <v>43</v>
      </c>
      <c r="G191" s="2">
        <v>151.06</v>
      </c>
      <c r="H191" s="2" t="s">
        <v>26</v>
      </c>
      <c r="I191" s="2" t="s">
        <v>63</v>
      </c>
      <c r="J191" s="2" t="s">
        <v>31</v>
      </c>
      <c r="K191" s="2" t="s">
        <v>49</v>
      </c>
      <c r="L191" s="2">
        <v>2024</v>
      </c>
      <c r="M191" s="2">
        <v>130</v>
      </c>
      <c r="N191" s="2">
        <v>2</v>
      </c>
      <c r="O191" s="2" t="s">
        <v>50</v>
      </c>
      <c r="P191" s="2" t="s">
        <v>50</v>
      </c>
      <c r="Q191" s="2" t="s">
        <v>55</v>
      </c>
      <c r="R191" s="2" t="s">
        <v>50</v>
      </c>
      <c r="S191" s="2">
        <v>1</v>
      </c>
      <c r="T191" s="2">
        <v>1</v>
      </c>
    </row>
    <row r="192" spans="1:20" x14ac:dyDescent="0.2">
      <c r="A192" s="2">
        <f t="shared" si="1"/>
        <v>191</v>
      </c>
      <c r="B192" s="2" t="s">
        <v>62</v>
      </c>
      <c r="C192" s="2">
        <v>2</v>
      </c>
      <c r="D192" s="2">
        <v>8</v>
      </c>
      <c r="E192" s="2">
        <v>42</v>
      </c>
      <c r="F192" s="2">
        <v>44</v>
      </c>
      <c r="G192" s="2">
        <v>170.86</v>
      </c>
      <c r="H192" s="2" t="s">
        <v>23</v>
      </c>
      <c r="I192" s="2" t="s">
        <v>66</v>
      </c>
      <c r="J192" s="2" t="s">
        <v>32</v>
      </c>
      <c r="K192" s="2" t="s">
        <v>47</v>
      </c>
      <c r="L192" s="2">
        <v>2024</v>
      </c>
      <c r="M192" s="2">
        <v>165</v>
      </c>
      <c r="N192" s="2">
        <v>4</v>
      </c>
      <c r="O192" s="2" t="s">
        <v>50</v>
      </c>
      <c r="P192" s="2" t="s">
        <v>51</v>
      </c>
      <c r="Q192" s="2" t="s">
        <v>55</v>
      </c>
      <c r="R192" s="2" t="s">
        <v>51</v>
      </c>
      <c r="S192" s="2">
        <v>4</v>
      </c>
      <c r="T192" s="2">
        <v>1</v>
      </c>
    </row>
    <row r="193" spans="1:20" x14ac:dyDescent="0.2">
      <c r="A193" s="2">
        <f t="shared" si="1"/>
        <v>192</v>
      </c>
      <c r="B193" s="2" t="s">
        <v>62</v>
      </c>
      <c r="C193" s="2">
        <v>1</v>
      </c>
      <c r="D193" s="2">
        <v>6</v>
      </c>
      <c r="E193" s="2">
        <v>36</v>
      </c>
      <c r="F193" s="2">
        <v>38</v>
      </c>
      <c r="G193" s="2">
        <v>103.51</v>
      </c>
      <c r="H193" s="2" t="s">
        <v>30</v>
      </c>
      <c r="I193" s="2" t="s">
        <v>63</v>
      </c>
      <c r="J193" s="2" t="s">
        <v>32</v>
      </c>
      <c r="K193" s="2" t="s">
        <v>65</v>
      </c>
      <c r="L193" s="2">
        <v>2019</v>
      </c>
      <c r="M193" s="2">
        <v>152</v>
      </c>
      <c r="N193" s="2">
        <v>2</v>
      </c>
      <c r="O193" s="2" t="s">
        <v>51</v>
      </c>
      <c r="P193" s="2" t="s">
        <v>50</v>
      </c>
      <c r="Q193" s="2" t="s">
        <v>52</v>
      </c>
      <c r="R193" s="2" t="s">
        <v>50</v>
      </c>
      <c r="S193" s="2">
        <v>2</v>
      </c>
      <c r="T193" s="2">
        <v>4</v>
      </c>
    </row>
    <row r="194" spans="1:20" x14ac:dyDescent="0.2">
      <c r="A194" s="2">
        <f t="shared" si="1"/>
        <v>193</v>
      </c>
      <c r="B194" s="2" t="s">
        <v>62</v>
      </c>
      <c r="C194" s="2">
        <v>1</v>
      </c>
      <c r="D194" s="2">
        <v>7</v>
      </c>
      <c r="E194" s="2">
        <v>53</v>
      </c>
      <c r="F194" s="2">
        <v>30</v>
      </c>
      <c r="G194" s="2">
        <v>202.89</v>
      </c>
      <c r="H194" s="2" t="s">
        <v>23</v>
      </c>
      <c r="I194" s="2" t="s">
        <v>70</v>
      </c>
      <c r="J194" s="2" t="s">
        <v>32</v>
      </c>
      <c r="K194" s="2" t="s">
        <v>65</v>
      </c>
      <c r="L194" s="2">
        <v>2021</v>
      </c>
      <c r="M194" s="2">
        <v>121</v>
      </c>
      <c r="N194" s="2">
        <v>1</v>
      </c>
      <c r="O194" s="2" t="s">
        <v>50</v>
      </c>
      <c r="P194" s="2" t="s">
        <v>50</v>
      </c>
      <c r="Q194" s="2" t="s">
        <v>55</v>
      </c>
      <c r="R194" s="2" t="s">
        <v>50</v>
      </c>
      <c r="S194" s="2">
        <v>6</v>
      </c>
      <c r="T194" s="2">
        <v>7</v>
      </c>
    </row>
    <row r="195" spans="1:20" x14ac:dyDescent="0.2">
      <c r="A195" s="2">
        <f t="shared" si="1"/>
        <v>194</v>
      </c>
      <c r="B195" s="2" t="s">
        <v>62</v>
      </c>
      <c r="C195" s="2">
        <v>1</v>
      </c>
      <c r="D195" s="2">
        <v>4</v>
      </c>
      <c r="E195" s="2">
        <v>19</v>
      </c>
      <c r="F195" s="2">
        <v>41</v>
      </c>
      <c r="G195" s="2">
        <v>153.72999999999999</v>
      </c>
      <c r="H195" s="2" t="s">
        <v>31</v>
      </c>
      <c r="I195" s="2" t="s">
        <v>68</v>
      </c>
      <c r="J195" s="2" t="s">
        <v>27</v>
      </c>
      <c r="K195" s="2" t="s">
        <v>49</v>
      </c>
      <c r="L195" s="2">
        <v>2019</v>
      </c>
      <c r="M195" s="2">
        <v>210</v>
      </c>
      <c r="N195" s="2">
        <v>0</v>
      </c>
      <c r="O195" s="2" t="s">
        <v>51</v>
      </c>
      <c r="P195" s="2" t="s">
        <v>51</v>
      </c>
      <c r="Q195" s="2" t="s">
        <v>52</v>
      </c>
      <c r="R195" s="2" t="s">
        <v>50</v>
      </c>
      <c r="S195" s="2">
        <v>8</v>
      </c>
      <c r="T195" s="2">
        <v>4</v>
      </c>
    </row>
    <row r="196" spans="1:20" x14ac:dyDescent="0.2">
      <c r="A196" s="2">
        <f t="shared" si="1"/>
        <v>195</v>
      </c>
      <c r="B196" s="2" t="s">
        <v>62</v>
      </c>
      <c r="C196" s="2">
        <v>1</v>
      </c>
      <c r="D196" s="2">
        <v>3</v>
      </c>
      <c r="E196" s="2">
        <v>80</v>
      </c>
      <c r="F196" s="2">
        <v>16</v>
      </c>
      <c r="G196" s="2">
        <v>207.87</v>
      </c>
      <c r="H196" s="2" t="s">
        <v>23</v>
      </c>
      <c r="I196" s="2" t="s">
        <v>63</v>
      </c>
      <c r="J196" s="2" t="s">
        <v>26</v>
      </c>
      <c r="K196" s="2" t="s">
        <v>47</v>
      </c>
      <c r="L196" s="2">
        <v>2017</v>
      </c>
      <c r="M196" s="2">
        <v>142</v>
      </c>
      <c r="N196" s="2">
        <v>7</v>
      </c>
      <c r="O196" s="2" t="s">
        <v>50</v>
      </c>
      <c r="P196" s="2" t="s">
        <v>50</v>
      </c>
      <c r="Q196" s="2" t="s">
        <v>52</v>
      </c>
      <c r="R196" s="2" t="s">
        <v>51</v>
      </c>
      <c r="S196" s="2">
        <v>5</v>
      </c>
      <c r="T196" s="2">
        <v>1</v>
      </c>
    </row>
    <row r="197" spans="1:20" x14ac:dyDescent="0.2">
      <c r="A197" s="2">
        <f t="shared" si="1"/>
        <v>196</v>
      </c>
      <c r="B197" s="2" t="s">
        <v>62</v>
      </c>
      <c r="C197" s="2">
        <v>2</v>
      </c>
      <c r="D197" s="2">
        <v>8</v>
      </c>
      <c r="E197" s="2">
        <v>1</v>
      </c>
      <c r="F197" s="2">
        <v>17</v>
      </c>
      <c r="G197" s="2">
        <v>86.27</v>
      </c>
      <c r="H197" s="2" t="s">
        <v>26</v>
      </c>
      <c r="I197" s="2" t="s">
        <v>66</v>
      </c>
      <c r="J197" s="2" t="s">
        <v>26</v>
      </c>
      <c r="K197" s="2" t="s">
        <v>48</v>
      </c>
      <c r="L197" s="2">
        <v>2025</v>
      </c>
      <c r="M197" s="2">
        <v>179</v>
      </c>
      <c r="N197" s="2">
        <v>5</v>
      </c>
      <c r="O197" s="2" t="s">
        <v>50</v>
      </c>
      <c r="P197" s="2" t="s">
        <v>51</v>
      </c>
      <c r="Q197" s="2" t="s">
        <v>52</v>
      </c>
      <c r="R197" s="2" t="s">
        <v>50</v>
      </c>
      <c r="S197" s="2">
        <v>10</v>
      </c>
      <c r="T197" s="2">
        <v>6</v>
      </c>
    </row>
    <row r="198" spans="1:20" x14ac:dyDescent="0.2">
      <c r="A198" s="2">
        <f t="shared" si="1"/>
        <v>197</v>
      </c>
      <c r="B198" s="2" t="s">
        <v>62</v>
      </c>
      <c r="C198" s="2">
        <v>2</v>
      </c>
      <c r="D198" s="2">
        <v>8</v>
      </c>
      <c r="E198" s="2">
        <v>65</v>
      </c>
      <c r="F198" s="2">
        <v>21</v>
      </c>
      <c r="G198" s="2">
        <v>62.7</v>
      </c>
      <c r="H198" s="2" t="s">
        <v>31</v>
      </c>
      <c r="I198" s="2" t="s">
        <v>73</v>
      </c>
      <c r="J198" s="2" t="s">
        <v>23</v>
      </c>
      <c r="K198" s="2" t="s">
        <v>48</v>
      </c>
      <c r="L198" s="2">
        <v>2018</v>
      </c>
      <c r="M198" s="2">
        <v>123</v>
      </c>
      <c r="N198" s="2">
        <v>2</v>
      </c>
      <c r="O198" s="2" t="s">
        <v>51</v>
      </c>
      <c r="P198" s="2" t="s">
        <v>51</v>
      </c>
      <c r="Q198" s="2" t="s">
        <v>52</v>
      </c>
      <c r="R198" s="2" t="s">
        <v>51</v>
      </c>
      <c r="S198" s="2">
        <v>2</v>
      </c>
      <c r="T198" s="2">
        <v>1</v>
      </c>
    </row>
    <row r="199" spans="1:20" x14ac:dyDescent="0.2">
      <c r="A199" s="2">
        <f t="shared" si="1"/>
        <v>198</v>
      </c>
      <c r="B199" s="2" t="s">
        <v>62</v>
      </c>
      <c r="C199" s="2">
        <v>1</v>
      </c>
      <c r="D199" s="2">
        <v>9</v>
      </c>
      <c r="E199" s="2">
        <v>24</v>
      </c>
      <c r="F199" s="2">
        <v>3</v>
      </c>
      <c r="G199" s="2">
        <v>227.82</v>
      </c>
      <c r="H199" s="2" t="s">
        <v>24</v>
      </c>
      <c r="I199" s="2" t="s">
        <v>73</v>
      </c>
      <c r="J199" s="2" t="s">
        <v>71</v>
      </c>
      <c r="K199" s="2" t="s">
        <v>65</v>
      </c>
      <c r="L199" s="2">
        <v>2017</v>
      </c>
      <c r="M199" s="2">
        <v>169</v>
      </c>
      <c r="N199" s="2">
        <v>7</v>
      </c>
      <c r="O199" s="2" t="s">
        <v>51</v>
      </c>
      <c r="P199" s="2" t="s">
        <v>51</v>
      </c>
      <c r="Q199" s="2" t="s">
        <v>52</v>
      </c>
      <c r="R199" s="2" t="s">
        <v>51</v>
      </c>
      <c r="S199" s="2">
        <v>8</v>
      </c>
      <c r="T199" s="2">
        <v>3</v>
      </c>
    </row>
    <row r="200" spans="1:20" x14ac:dyDescent="0.2">
      <c r="A200" s="2">
        <f t="shared" si="1"/>
        <v>199</v>
      </c>
      <c r="B200" s="2" t="s">
        <v>62</v>
      </c>
      <c r="C200" s="2">
        <v>1</v>
      </c>
      <c r="D200" s="2">
        <v>11</v>
      </c>
      <c r="E200" s="2">
        <v>40</v>
      </c>
      <c r="F200" s="2">
        <v>30</v>
      </c>
      <c r="G200" s="2">
        <v>167.81</v>
      </c>
      <c r="H200" s="2" t="s">
        <v>30</v>
      </c>
      <c r="I200" s="2" t="s">
        <v>63</v>
      </c>
      <c r="J200" s="2" t="s">
        <v>29</v>
      </c>
      <c r="K200" s="2" t="s">
        <v>47</v>
      </c>
      <c r="L200" s="2">
        <v>2017</v>
      </c>
      <c r="M200" s="2">
        <v>120</v>
      </c>
      <c r="N200" s="2">
        <v>2</v>
      </c>
      <c r="O200" s="2" t="s">
        <v>50</v>
      </c>
      <c r="P200" s="2" t="s">
        <v>50</v>
      </c>
      <c r="Q200" s="2" t="s">
        <v>54</v>
      </c>
      <c r="R200" s="2" t="s">
        <v>50</v>
      </c>
      <c r="S200" s="2">
        <v>8</v>
      </c>
      <c r="T200" s="2">
        <v>6</v>
      </c>
    </row>
    <row r="201" spans="1:20" x14ac:dyDescent="0.2">
      <c r="A201" s="2">
        <f t="shared" si="1"/>
        <v>200</v>
      </c>
      <c r="B201" s="2" t="s">
        <v>62</v>
      </c>
      <c r="C201" s="2">
        <v>1</v>
      </c>
      <c r="D201" s="2">
        <v>2</v>
      </c>
      <c r="E201" s="2">
        <v>59</v>
      </c>
      <c r="F201" s="2">
        <v>45</v>
      </c>
      <c r="G201" s="2">
        <v>144.35</v>
      </c>
      <c r="H201" s="2" t="s">
        <v>24</v>
      </c>
      <c r="I201" s="2" t="s">
        <v>64</v>
      </c>
      <c r="J201" s="2" t="s">
        <v>31</v>
      </c>
      <c r="K201" s="2" t="s">
        <v>48</v>
      </c>
      <c r="L201" s="2">
        <v>2023</v>
      </c>
      <c r="M201" s="2">
        <v>199</v>
      </c>
      <c r="N201" s="2">
        <v>8</v>
      </c>
      <c r="O201" s="2" t="s">
        <v>50</v>
      </c>
      <c r="P201" s="2" t="s">
        <v>50</v>
      </c>
      <c r="Q201" s="2" t="s">
        <v>52</v>
      </c>
      <c r="R201" s="2" t="s">
        <v>50</v>
      </c>
      <c r="S201" s="2">
        <v>8</v>
      </c>
      <c r="T201" s="2">
        <v>5</v>
      </c>
    </row>
    <row r="202" spans="1:20" x14ac:dyDescent="0.2">
      <c r="A202" s="2">
        <f t="shared" si="1"/>
        <v>201</v>
      </c>
      <c r="B202" s="2" t="s">
        <v>62</v>
      </c>
      <c r="C202" s="2">
        <v>1</v>
      </c>
      <c r="D202" s="2">
        <v>8</v>
      </c>
      <c r="E202" s="2">
        <v>40</v>
      </c>
      <c r="F202" s="2">
        <v>14</v>
      </c>
      <c r="G202" s="2">
        <v>152.72</v>
      </c>
      <c r="H202" s="2" t="s">
        <v>29</v>
      </c>
      <c r="I202" s="2" t="s">
        <v>72</v>
      </c>
      <c r="J202" s="2" t="s">
        <v>32</v>
      </c>
      <c r="K202" s="2" t="s">
        <v>49</v>
      </c>
      <c r="L202" s="2">
        <v>2018</v>
      </c>
      <c r="M202" s="2">
        <v>139</v>
      </c>
      <c r="N202" s="2">
        <v>4</v>
      </c>
      <c r="O202" s="2" t="s">
        <v>50</v>
      </c>
      <c r="P202" s="2" t="s">
        <v>51</v>
      </c>
      <c r="Q202" s="2" t="s">
        <v>52</v>
      </c>
      <c r="R202" s="2" t="s">
        <v>50</v>
      </c>
      <c r="S202" s="2">
        <v>7</v>
      </c>
      <c r="T202" s="2">
        <v>8</v>
      </c>
    </row>
    <row r="203" spans="1:20" x14ac:dyDescent="0.2">
      <c r="A203" s="2">
        <f t="shared" si="1"/>
        <v>202</v>
      </c>
      <c r="B203" s="2" t="s">
        <v>62</v>
      </c>
      <c r="C203" s="2">
        <v>1</v>
      </c>
      <c r="D203" s="2">
        <v>4</v>
      </c>
      <c r="E203" s="2">
        <v>32</v>
      </c>
      <c r="F203" s="2">
        <v>47</v>
      </c>
      <c r="G203" s="2">
        <v>91.29</v>
      </c>
      <c r="H203" s="2" t="s">
        <v>29</v>
      </c>
      <c r="I203" s="2" t="s">
        <v>64</v>
      </c>
      <c r="J203" s="2" t="s">
        <v>32</v>
      </c>
      <c r="K203" s="2" t="s">
        <v>48</v>
      </c>
      <c r="L203" s="2">
        <v>2025</v>
      </c>
      <c r="M203" s="2">
        <v>160</v>
      </c>
      <c r="N203" s="2">
        <v>6</v>
      </c>
      <c r="O203" s="2" t="s">
        <v>51</v>
      </c>
      <c r="P203" s="2" t="s">
        <v>51</v>
      </c>
      <c r="Q203" s="2" t="s">
        <v>54</v>
      </c>
      <c r="R203" s="2" t="s">
        <v>50</v>
      </c>
      <c r="S203" s="2">
        <v>6</v>
      </c>
      <c r="T203" s="2">
        <v>6</v>
      </c>
    </row>
    <row r="204" spans="1:20" x14ac:dyDescent="0.2">
      <c r="A204" s="2">
        <f t="shared" si="1"/>
        <v>203</v>
      </c>
      <c r="B204" s="2" t="s">
        <v>62</v>
      </c>
      <c r="C204" s="2">
        <v>2</v>
      </c>
      <c r="D204" s="2">
        <v>11</v>
      </c>
      <c r="E204" s="2">
        <v>73</v>
      </c>
      <c r="F204" s="2">
        <v>30</v>
      </c>
      <c r="G204" s="2">
        <v>141.94</v>
      </c>
      <c r="H204" s="2" t="s">
        <v>24</v>
      </c>
      <c r="I204" s="2" t="s">
        <v>70</v>
      </c>
      <c r="J204" s="2" t="s">
        <v>32</v>
      </c>
      <c r="K204" s="2" t="s">
        <v>65</v>
      </c>
      <c r="L204" s="2">
        <v>2016</v>
      </c>
      <c r="M204" s="2">
        <v>151</v>
      </c>
      <c r="N204" s="2">
        <v>2</v>
      </c>
      <c r="O204" s="2" t="s">
        <v>50</v>
      </c>
      <c r="P204" s="2" t="s">
        <v>50</v>
      </c>
      <c r="Q204" s="2" t="s">
        <v>54</v>
      </c>
      <c r="R204" s="2" t="s">
        <v>51</v>
      </c>
      <c r="S204" s="2">
        <v>10</v>
      </c>
      <c r="T204" s="2">
        <v>6</v>
      </c>
    </row>
    <row r="205" spans="1:20" x14ac:dyDescent="0.2">
      <c r="A205" s="2">
        <f t="shared" si="1"/>
        <v>204</v>
      </c>
      <c r="B205" s="2" t="s">
        <v>62</v>
      </c>
      <c r="C205" s="2">
        <v>1</v>
      </c>
      <c r="D205" s="2">
        <v>8</v>
      </c>
      <c r="E205" s="2">
        <v>17</v>
      </c>
      <c r="F205" s="2">
        <v>3</v>
      </c>
      <c r="G205" s="2">
        <v>211.16</v>
      </c>
      <c r="H205" s="2" t="s">
        <v>26</v>
      </c>
      <c r="I205" s="2" t="s">
        <v>64</v>
      </c>
      <c r="J205" s="2" t="s">
        <v>29</v>
      </c>
      <c r="K205" s="2" t="s">
        <v>47</v>
      </c>
      <c r="L205" s="2">
        <v>2020</v>
      </c>
      <c r="M205" s="2">
        <v>186</v>
      </c>
      <c r="N205" s="2">
        <v>9</v>
      </c>
      <c r="O205" s="2" t="s">
        <v>51</v>
      </c>
      <c r="P205" s="2" t="s">
        <v>50</v>
      </c>
      <c r="Q205" s="2" t="s">
        <v>54</v>
      </c>
      <c r="R205" s="2" t="s">
        <v>51</v>
      </c>
      <c r="S205" s="2">
        <v>8</v>
      </c>
      <c r="T205" s="2">
        <v>1</v>
      </c>
    </row>
    <row r="206" spans="1:20" x14ac:dyDescent="0.2">
      <c r="A206" s="2">
        <f t="shared" si="1"/>
        <v>205</v>
      </c>
      <c r="B206" s="2" t="s">
        <v>62</v>
      </c>
      <c r="C206" s="2">
        <v>1</v>
      </c>
      <c r="D206" s="2">
        <v>1</v>
      </c>
      <c r="E206" s="2">
        <v>5</v>
      </c>
      <c r="F206" s="2">
        <v>10</v>
      </c>
      <c r="G206" s="2">
        <v>212.92</v>
      </c>
      <c r="H206" s="2" t="s">
        <v>24</v>
      </c>
      <c r="I206" s="2" t="s">
        <v>68</v>
      </c>
      <c r="J206" s="2" t="s">
        <v>26</v>
      </c>
      <c r="K206" s="2" t="s">
        <v>49</v>
      </c>
      <c r="L206" s="2">
        <v>2021</v>
      </c>
      <c r="M206" s="2">
        <v>141</v>
      </c>
      <c r="N206" s="2">
        <v>7</v>
      </c>
      <c r="O206" s="2" t="s">
        <v>50</v>
      </c>
      <c r="P206" s="2" t="s">
        <v>50</v>
      </c>
      <c r="Q206" s="2" t="s">
        <v>52</v>
      </c>
      <c r="R206" s="2" t="s">
        <v>51</v>
      </c>
      <c r="S206" s="2">
        <v>9</v>
      </c>
      <c r="T206" s="2">
        <v>5</v>
      </c>
    </row>
    <row r="207" spans="1:20" x14ac:dyDescent="0.2">
      <c r="A207" s="2">
        <f t="shared" si="1"/>
        <v>206</v>
      </c>
      <c r="B207" s="2" t="s">
        <v>62</v>
      </c>
      <c r="C207" s="2">
        <v>2</v>
      </c>
      <c r="D207" s="2">
        <v>11</v>
      </c>
      <c r="E207" s="2">
        <v>38</v>
      </c>
      <c r="F207" s="2">
        <v>48</v>
      </c>
      <c r="G207" s="2">
        <v>61.14</v>
      </c>
      <c r="H207" s="2" t="s">
        <v>31</v>
      </c>
      <c r="I207" s="2" t="s">
        <v>67</v>
      </c>
      <c r="J207" s="2" t="s">
        <v>27</v>
      </c>
      <c r="K207" s="2" t="s">
        <v>49</v>
      </c>
      <c r="L207" s="2">
        <v>2024</v>
      </c>
      <c r="M207" s="2">
        <v>196</v>
      </c>
      <c r="N207" s="2">
        <v>3</v>
      </c>
      <c r="O207" s="2" t="s">
        <v>51</v>
      </c>
      <c r="P207" s="2" t="s">
        <v>50</v>
      </c>
      <c r="Q207" s="2" t="s">
        <v>54</v>
      </c>
      <c r="R207" s="2" t="s">
        <v>51</v>
      </c>
      <c r="S207" s="2">
        <v>4</v>
      </c>
      <c r="T207" s="2">
        <v>7</v>
      </c>
    </row>
    <row r="208" spans="1:20" x14ac:dyDescent="0.2">
      <c r="A208" s="2">
        <f t="shared" si="1"/>
        <v>207</v>
      </c>
      <c r="B208" s="2" t="s">
        <v>62</v>
      </c>
      <c r="C208" s="2">
        <v>2</v>
      </c>
      <c r="D208" s="2">
        <v>7</v>
      </c>
      <c r="E208" s="2">
        <v>55</v>
      </c>
      <c r="F208" s="2">
        <v>2</v>
      </c>
      <c r="G208" s="2">
        <v>191.4</v>
      </c>
      <c r="H208" s="2" t="s">
        <v>32</v>
      </c>
      <c r="I208" s="2" t="s">
        <v>64</v>
      </c>
      <c r="J208" s="2" t="s">
        <v>27</v>
      </c>
      <c r="K208" s="2" t="s">
        <v>47</v>
      </c>
      <c r="L208" s="2">
        <v>2020</v>
      </c>
      <c r="M208" s="2">
        <v>126</v>
      </c>
      <c r="N208" s="2">
        <v>7</v>
      </c>
      <c r="O208" s="2" t="s">
        <v>50</v>
      </c>
      <c r="P208" s="2" t="s">
        <v>50</v>
      </c>
      <c r="Q208" s="2" t="s">
        <v>55</v>
      </c>
      <c r="R208" s="2" t="s">
        <v>50</v>
      </c>
      <c r="S208" s="2">
        <v>4</v>
      </c>
      <c r="T208" s="2">
        <v>5</v>
      </c>
    </row>
    <row r="209" spans="1:20" x14ac:dyDescent="0.2">
      <c r="A209" s="2">
        <f t="shared" si="1"/>
        <v>208</v>
      </c>
      <c r="B209" s="2" t="s">
        <v>62</v>
      </c>
      <c r="C209" s="2">
        <v>2</v>
      </c>
      <c r="D209" s="2">
        <v>2</v>
      </c>
      <c r="E209" s="2">
        <v>77</v>
      </c>
      <c r="F209" s="2">
        <v>8</v>
      </c>
      <c r="G209" s="2">
        <v>203.35</v>
      </c>
      <c r="H209" s="2" t="s">
        <v>24</v>
      </c>
      <c r="I209" s="2" t="s">
        <v>66</v>
      </c>
      <c r="J209" s="2" t="s">
        <v>27</v>
      </c>
      <c r="K209" s="2" t="s">
        <v>48</v>
      </c>
      <c r="L209" s="2">
        <v>2018</v>
      </c>
      <c r="M209" s="2">
        <v>137</v>
      </c>
      <c r="N209" s="2">
        <v>1</v>
      </c>
      <c r="O209" s="2" t="s">
        <v>51</v>
      </c>
      <c r="P209" s="2" t="s">
        <v>51</v>
      </c>
      <c r="Q209" s="2" t="s">
        <v>55</v>
      </c>
      <c r="R209" s="2" t="s">
        <v>51</v>
      </c>
      <c r="S209" s="2">
        <v>10</v>
      </c>
      <c r="T209" s="2">
        <v>5</v>
      </c>
    </row>
    <row r="210" spans="1:20" x14ac:dyDescent="0.2">
      <c r="A210" s="2">
        <f t="shared" si="1"/>
        <v>209</v>
      </c>
      <c r="B210" s="2" t="s">
        <v>62</v>
      </c>
      <c r="C210" s="2">
        <v>1</v>
      </c>
      <c r="D210" s="2">
        <v>8</v>
      </c>
      <c r="E210" s="2">
        <v>25</v>
      </c>
      <c r="F210" s="2">
        <v>28</v>
      </c>
      <c r="G210" s="2">
        <v>244.45</v>
      </c>
      <c r="H210" s="2" t="s">
        <v>26</v>
      </c>
      <c r="I210" s="2" t="s">
        <v>73</v>
      </c>
      <c r="J210" s="2" t="s">
        <v>45</v>
      </c>
      <c r="K210" s="2" t="s">
        <v>48</v>
      </c>
      <c r="L210" s="2">
        <v>2022</v>
      </c>
      <c r="M210" s="2">
        <v>197</v>
      </c>
      <c r="N210" s="2">
        <v>5</v>
      </c>
      <c r="O210" s="2" t="s">
        <v>51</v>
      </c>
      <c r="P210" s="2" t="s">
        <v>51</v>
      </c>
      <c r="Q210" s="2" t="s">
        <v>52</v>
      </c>
      <c r="R210" s="2" t="s">
        <v>51</v>
      </c>
      <c r="S210" s="2">
        <v>6</v>
      </c>
      <c r="T210" s="2">
        <v>8</v>
      </c>
    </row>
    <row r="211" spans="1:20" x14ac:dyDescent="0.2">
      <c r="A211" s="2">
        <f t="shared" si="1"/>
        <v>210</v>
      </c>
      <c r="B211" s="2" t="s">
        <v>62</v>
      </c>
      <c r="C211" s="2">
        <v>1</v>
      </c>
      <c r="D211" s="2">
        <v>2</v>
      </c>
      <c r="E211" s="2">
        <v>42</v>
      </c>
      <c r="F211" s="2">
        <v>15</v>
      </c>
      <c r="G211" s="2">
        <v>103.08</v>
      </c>
      <c r="H211" s="2" t="s">
        <v>27</v>
      </c>
      <c r="I211" s="2" t="s">
        <v>67</v>
      </c>
      <c r="J211" s="2" t="s">
        <v>31</v>
      </c>
      <c r="K211" s="2" t="s">
        <v>65</v>
      </c>
      <c r="L211" s="2">
        <v>2018</v>
      </c>
      <c r="M211" s="2">
        <v>197</v>
      </c>
      <c r="N211" s="2">
        <v>3</v>
      </c>
      <c r="O211" s="2" t="s">
        <v>51</v>
      </c>
      <c r="P211" s="2" t="s">
        <v>51</v>
      </c>
      <c r="Q211" s="2" t="s">
        <v>55</v>
      </c>
      <c r="R211" s="2" t="s">
        <v>50</v>
      </c>
      <c r="S211" s="2">
        <v>2</v>
      </c>
      <c r="T211" s="2">
        <v>2</v>
      </c>
    </row>
    <row r="212" spans="1:20" x14ac:dyDescent="0.2">
      <c r="A212" s="2">
        <f t="shared" si="1"/>
        <v>211</v>
      </c>
      <c r="B212" s="2" t="s">
        <v>62</v>
      </c>
      <c r="C212" s="2">
        <v>1</v>
      </c>
      <c r="D212" s="2">
        <v>2</v>
      </c>
      <c r="E212" s="2">
        <v>64</v>
      </c>
      <c r="F212" s="2">
        <v>25</v>
      </c>
      <c r="G212" s="2">
        <v>114.95</v>
      </c>
      <c r="H212" s="2" t="s">
        <v>26</v>
      </c>
      <c r="I212" s="2" t="s">
        <v>73</v>
      </c>
      <c r="J212" s="2" t="s">
        <v>29</v>
      </c>
      <c r="K212" s="2" t="s">
        <v>65</v>
      </c>
      <c r="L212" s="2">
        <v>2019</v>
      </c>
      <c r="M212" s="2">
        <v>189</v>
      </c>
      <c r="N212" s="2">
        <v>9</v>
      </c>
      <c r="O212" s="2" t="s">
        <v>50</v>
      </c>
      <c r="P212" s="2" t="s">
        <v>51</v>
      </c>
      <c r="Q212" s="2" t="s">
        <v>55</v>
      </c>
      <c r="R212" s="2" t="s">
        <v>51</v>
      </c>
      <c r="S212" s="2">
        <v>8</v>
      </c>
      <c r="T212" s="2">
        <v>1</v>
      </c>
    </row>
    <row r="213" spans="1:20" x14ac:dyDescent="0.2">
      <c r="A213" s="2">
        <f t="shared" si="1"/>
        <v>212</v>
      </c>
      <c r="B213" s="2" t="s">
        <v>62</v>
      </c>
      <c r="C213" s="2">
        <v>2</v>
      </c>
      <c r="D213" s="2">
        <v>11</v>
      </c>
      <c r="E213" s="2">
        <v>40</v>
      </c>
      <c r="F213" s="2">
        <v>36</v>
      </c>
      <c r="G213" s="2">
        <v>87.09</v>
      </c>
      <c r="H213" s="2" t="s">
        <v>27</v>
      </c>
      <c r="I213" s="2" t="s">
        <v>67</v>
      </c>
      <c r="J213" s="2" t="s">
        <v>27</v>
      </c>
      <c r="K213" s="2" t="s">
        <v>65</v>
      </c>
      <c r="L213" s="2">
        <v>2018</v>
      </c>
      <c r="M213" s="2">
        <v>126</v>
      </c>
      <c r="N213" s="2">
        <v>6</v>
      </c>
      <c r="O213" s="2" t="s">
        <v>51</v>
      </c>
      <c r="P213" s="2" t="s">
        <v>51</v>
      </c>
      <c r="Q213" s="2" t="s">
        <v>52</v>
      </c>
      <c r="R213" s="2" t="s">
        <v>50</v>
      </c>
      <c r="S213" s="2">
        <v>8</v>
      </c>
      <c r="T213" s="2">
        <v>4</v>
      </c>
    </row>
    <row r="214" spans="1:20" x14ac:dyDescent="0.2">
      <c r="A214" s="2">
        <f t="shared" si="1"/>
        <v>213</v>
      </c>
      <c r="B214" s="2" t="s">
        <v>62</v>
      </c>
      <c r="C214" s="2">
        <v>1</v>
      </c>
      <c r="D214" s="2">
        <v>10</v>
      </c>
      <c r="E214" s="2">
        <v>20</v>
      </c>
      <c r="F214" s="2">
        <v>10</v>
      </c>
      <c r="G214" s="2">
        <v>69.59</v>
      </c>
      <c r="H214" s="2" t="s">
        <v>23</v>
      </c>
      <c r="I214" s="2" t="s">
        <v>67</v>
      </c>
      <c r="J214" s="2" t="s">
        <v>23</v>
      </c>
      <c r="K214" s="2" t="s">
        <v>47</v>
      </c>
      <c r="L214" s="2">
        <v>2016</v>
      </c>
      <c r="M214" s="2">
        <v>160</v>
      </c>
      <c r="N214" s="2">
        <v>2</v>
      </c>
      <c r="O214" s="2" t="s">
        <v>51</v>
      </c>
      <c r="P214" s="2" t="s">
        <v>50</v>
      </c>
      <c r="Q214" s="2" t="s">
        <v>55</v>
      </c>
      <c r="R214" s="2" t="s">
        <v>51</v>
      </c>
      <c r="S214" s="2">
        <v>4</v>
      </c>
      <c r="T214" s="2">
        <v>5</v>
      </c>
    </row>
    <row r="215" spans="1:20" x14ac:dyDescent="0.2">
      <c r="A215" s="2">
        <f t="shared" si="1"/>
        <v>214</v>
      </c>
      <c r="B215" s="2" t="s">
        <v>62</v>
      </c>
      <c r="C215" s="2">
        <v>2</v>
      </c>
      <c r="D215" s="2">
        <v>7</v>
      </c>
      <c r="E215" s="2">
        <v>15</v>
      </c>
      <c r="F215" s="2">
        <v>38</v>
      </c>
      <c r="G215" s="2">
        <v>83.51</v>
      </c>
      <c r="H215" s="2" t="s">
        <v>32</v>
      </c>
      <c r="I215" s="2" t="s">
        <v>70</v>
      </c>
      <c r="J215" s="2" t="s">
        <v>31</v>
      </c>
      <c r="K215" s="2" t="s">
        <v>65</v>
      </c>
      <c r="L215" s="2">
        <v>2020</v>
      </c>
      <c r="M215" s="2">
        <v>150</v>
      </c>
      <c r="N215" s="2">
        <v>3</v>
      </c>
      <c r="O215" s="2" t="s">
        <v>51</v>
      </c>
      <c r="P215" s="2" t="s">
        <v>50</v>
      </c>
      <c r="Q215" s="2" t="s">
        <v>55</v>
      </c>
      <c r="R215" s="2" t="s">
        <v>50</v>
      </c>
      <c r="S215" s="2">
        <v>0</v>
      </c>
      <c r="T215" s="2">
        <v>2</v>
      </c>
    </row>
    <row r="216" spans="1:20" x14ac:dyDescent="0.2">
      <c r="A216" s="2">
        <f t="shared" si="1"/>
        <v>215</v>
      </c>
      <c r="B216" s="2" t="s">
        <v>62</v>
      </c>
      <c r="C216" s="2">
        <v>2</v>
      </c>
      <c r="D216" s="2">
        <v>7</v>
      </c>
      <c r="E216" s="2">
        <v>12</v>
      </c>
      <c r="F216" s="2">
        <v>4</v>
      </c>
      <c r="G216" s="2">
        <v>75.08</v>
      </c>
      <c r="H216" s="2" t="s">
        <v>32</v>
      </c>
      <c r="I216" s="2" t="s">
        <v>67</v>
      </c>
      <c r="J216" s="2" t="s">
        <v>45</v>
      </c>
      <c r="K216" s="2" t="s">
        <v>48</v>
      </c>
      <c r="L216" s="2">
        <v>2019</v>
      </c>
      <c r="M216" s="2">
        <v>133</v>
      </c>
      <c r="N216" s="2">
        <v>2</v>
      </c>
      <c r="O216" s="2" t="s">
        <v>51</v>
      </c>
      <c r="P216" s="2" t="s">
        <v>51</v>
      </c>
      <c r="Q216" s="2" t="s">
        <v>54</v>
      </c>
      <c r="R216" s="2" t="s">
        <v>51</v>
      </c>
      <c r="S216" s="2">
        <v>1</v>
      </c>
      <c r="T216" s="2">
        <v>7</v>
      </c>
    </row>
    <row r="217" spans="1:20" x14ac:dyDescent="0.2">
      <c r="A217" s="2">
        <f t="shared" si="1"/>
        <v>216</v>
      </c>
      <c r="B217" s="2" t="s">
        <v>62</v>
      </c>
      <c r="C217" s="2">
        <v>2</v>
      </c>
      <c r="D217" s="2">
        <v>10</v>
      </c>
      <c r="E217" s="2">
        <v>68</v>
      </c>
      <c r="F217" s="2">
        <v>30</v>
      </c>
      <c r="G217" s="2">
        <v>209.18</v>
      </c>
      <c r="H217" s="2" t="s">
        <v>24</v>
      </c>
      <c r="I217" s="2" t="s">
        <v>68</v>
      </c>
      <c r="J217" s="2" t="s">
        <v>31</v>
      </c>
      <c r="K217" s="2" t="s">
        <v>47</v>
      </c>
      <c r="L217" s="2">
        <v>2025</v>
      </c>
      <c r="M217" s="2">
        <v>174</v>
      </c>
      <c r="N217" s="2">
        <v>10</v>
      </c>
      <c r="O217" s="2" t="s">
        <v>50</v>
      </c>
      <c r="P217" s="2" t="s">
        <v>51</v>
      </c>
      <c r="Q217" s="2" t="s">
        <v>55</v>
      </c>
      <c r="R217" s="2" t="s">
        <v>50</v>
      </c>
      <c r="S217" s="2">
        <v>8</v>
      </c>
      <c r="T217" s="2">
        <v>8</v>
      </c>
    </row>
    <row r="218" spans="1:20" x14ac:dyDescent="0.2">
      <c r="A218" s="2">
        <f t="shared" si="1"/>
        <v>217</v>
      </c>
      <c r="B218" s="2" t="s">
        <v>62</v>
      </c>
      <c r="C218" s="2">
        <v>1</v>
      </c>
      <c r="D218" s="2">
        <v>9</v>
      </c>
      <c r="E218" s="2">
        <v>45</v>
      </c>
      <c r="F218" s="2">
        <v>27</v>
      </c>
      <c r="G218" s="2">
        <v>231.73</v>
      </c>
      <c r="H218" s="2" t="s">
        <v>31</v>
      </c>
      <c r="I218" s="2" t="s">
        <v>72</v>
      </c>
      <c r="J218" s="2" t="s">
        <v>45</v>
      </c>
      <c r="K218" s="2" t="s">
        <v>65</v>
      </c>
      <c r="L218" s="2">
        <v>2025</v>
      </c>
      <c r="M218" s="2">
        <v>121</v>
      </c>
      <c r="N218" s="2">
        <v>10</v>
      </c>
      <c r="O218" s="2" t="s">
        <v>50</v>
      </c>
      <c r="P218" s="2" t="s">
        <v>50</v>
      </c>
      <c r="Q218" s="2" t="s">
        <v>52</v>
      </c>
      <c r="R218" s="2" t="s">
        <v>51</v>
      </c>
      <c r="S218" s="2">
        <v>3</v>
      </c>
      <c r="T218" s="2">
        <v>0</v>
      </c>
    </row>
    <row r="219" spans="1:20" x14ac:dyDescent="0.2">
      <c r="A219" s="2">
        <f t="shared" si="1"/>
        <v>218</v>
      </c>
      <c r="B219" s="2" t="s">
        <v>62</v>
      </c>
      <c r="C219" s="2">
        <v>2</v>
      </c>
      <c r="D219" s="2">
        <v>3</v>
      </c>
      <c r="E219" s="2">
        <v>65</v>
      </c>
      <c r="F219" s="2">
        <v>34</v>
      </c>
      <c r="G219" s="2">
        <v>52.71</v>
      </c>
      <c r="H219" s="2" t="s">
        <v>26</v>
      </c>
      <c r="I219" s="2" t="s">
        <v>67</v>
      </c>
      <c r="J219" s="2" t="s">
        <v>23</v>
      </c>
      <c r="K219" s="2" t="s">
        <v>48</v>
      </c>
      <c r="L219" s="2">
        <v>2022</v>
      </c>
      <c r="M219" s="2">
        <v>214</v>
      </c>
      <c r="N219" s="2">
        <v>2</v>
      </c>
      <c r="O219" s="2" t="s">
        <v>50</v>
      </c>
      <c r="P219" s="2" t="s">
        <v>51</v>
      </c>
      <c r="Q219" s="2" t="s">
        <v>52</v>
      </c>
      <c r="R219" s="2" t="s">
        <v>50</v>
      </c>
      <c r="S219" s="2">
        <v>10</v>
      </c>
      <c r="T219" s="2">
        <v>1</v>
      </c>
    </row>
    <row r="220" spans="1:20" x14ac:dyDescent="0.2">
      <c r="A220" s="2">
        <f t="shared" si="1"/>
        <v>219</v>
      </c>
      <c r="B220" s="2" t="s">
        <v>62</v>
      </c>
      <c r="C220" s="2">
        <v>1</v>
      </c>
      <c r="D220" s="2">
        <v>6</v>
      </c>
      <c r="E220" s="2">
        <v>53</v>
      </c>
      <c r="F220" s="2">
        <v>39</v>
      </c>
      <c r="G220" s="2">
        <v>218.24</v>
      </c>
      <c r="H220" s="2" t="s">
        <v>24</v>
      </c>
      <c r="I220" s="2" t="s">
        <v>63</v>
      </c>
      <c r="J220" s="2" t="s">
        <v>71</v>
      </c>
      <c r="K220" s="2" t="s">
        <v>47</v>
      </c>
      <c r="L220" s="2">
        <v>2016</v>
      </c>
      <c r="M220" s="2">
        <v>123</v>
      </c>
      <c r="N220" s="2">
        <v>3</v>
      </c>
      <c r="O220" s="2" t="s">
        <v>51</v>
      </c>
      <c r="P220" s="2" t="s">
        <v>50</v>
      </c>
      <c r="Q220" s="2" t="s">
        <v>54</v>
      </c>
      <c r="R220" s="2" t="s">
        <v>50</v>
      </c>
      <c r="S220" s="2">
        <v>7</v>
      </c>
      <c r="T220" s="2">
        <v>6</v>
      </c>
    </row>
    <row r="221" spans="1:20" x14ac:dyDescent="0.2">
      <c r="A221" s="2">
        <f t="shared" si="1"/>
        <v>220</v>
      </c>
      <c r="B221" s="2" t="s">
        <v>74</v>
      </c>
      <c r="C221" s="2">
        <v>1</v>
      </c>
      <c r="D221" s="2">
        <v>5</v>
      </c>
      <c r="E221" s="2">
        <v>64</v>
      </c>
      <c r="F221" s="2">
        <v>43</v>
      </c>
      <c r="G221" s="2">
        <v>81.819999999999993</v>
      </c>
      <c r="H221" s="2" t="s">
        <v>75</v>
      </c>
      <c r="I221" s="2" t="s">
        <v>76</v>
      </c>
      <c r="J221" s="2" t="s">
        <v>45</v>
      </c>
      <c r="K221" s="2" t="s">
        <v>74</v>
      </c>
      <c r="L221" s="2">
        <v>2017</v>
      </c>
      <c r="M221" s="2">
        <v>230</v>
      </c>
      <c r="N221" s="2">
        <v>8</v>
      </c>
      <c r="O221" s="2" t="s">
        <v>50</v>
      </c>
      <c r="P221" s="2" t="s">
        <v>51</v>
      </c>
      <c r="Q221" s="2" t="s">
        <v>55</v>
      </c>
      <c r="R221" s="2" t="s">
        <v>50</v>
      </c>
      <c r="S221" s="2">
        <v>3</v>
      </c>
      <c r="T221" s="2">
        <v>0</v>
      </c>
    </row>
    <row r="222" spans="1:20" x14ac:dyDescent="0.2">
      <c r="A222" s="2">
        <f t="shared" si="1"/>
        <v>221</v>
      </c>
      <c r="B222" s="2" t="s">
        <v>74</v>
      </c>
      <c r="C222" s="2">
        <v>1</v>
      </c>
      <c r="D222" s="2">
        <v>3</v>
      </c>
      <c r="E222" s="2">
        <v>23</v>
      </c>
      <c r="F222" s="2">
        <v>17</v>
      </c>
      <c r="G222" s="2">
        <v>177.73</v>
      </c>
      <c r="H222" s="2" t="s">
        <v>77</v>
      </c>
      <c r="I222" s="2" t="s">
        <v>78</v>
      </c>
      <c r="J222" s="2" t="s">
        <v>45</v>
      </c>
      <c r="K222" s="2" t="s">
        <v>74</v>
      </c>
      <c r="L222" s="2">
        <v>2019</v>
      </c>
      <c r="M222" s="2">
        <v>145</v>
      </c>
      <c r="N222" s="2">
        <v>8</v>
      </c>
      <c r="O222" s="2" t="s">
        <v>51</v>
      </c>
      <c r="P222" s="2" t="s">
        <v>50</v>
      </c>
      <c r="Q222" s="2" t="s">
        <v>52</v>
      </c>
      <c r="R222" s="2" t="s">
        <v>51</v>
      </c>
      <c r="S222" s="2">
        <v>9</v>
      </c>
      <c r="T222" s="2">
        <v>1</v>
      </c>
    </row>
    <row r="223" spans="1:20" x14ac:dyDescent="0.2">
      <c r="A223" s="2">
        <f t="shared" si="1"/>
        <v>222</v>
      </c>
      <c r="B223" s="2" t="s">
        <v>74</v>
      </c>
      <c r="C223" s="2">
        <v>2</v>
      </c>
      <c r="D223" s="2">
        <v>10</v>
      </c>
      <c r="E223" s="2">
        <v>21</v>
      </c>
      <c r="F223" s="2">
        <v>24</v>
      </c>
      <c r="G223" s="2">
        <v>116</v>
      </c>
      <c r="H223" s="2" t="s">
        <v>79</v>
      </c>
      <c r="I223" s="2" t="s">
        <v>80</v>
      </c>
      <c r="J223" s="2" t="s">
        <v>45</v>
      </c>
      <c r="K223" s="2" t="s">
        <v>74</v>
      </c>
      <c r="L223" s="2">
        <v>2024</v>
      </c>
      <c r="M223" s="2">
        <v>232</v>
      </c>
      <c r="N223" s="2">
        <v>2</v>
      </c>
      <c r="O223" s="2" t="s">
        <v>51</v>
      </c>
      <c r="P223" s="2" t="s">
        <v>51</v>
      </c>
      <c r="Q223" s="2" t="s">
        <v>55</v>
      </c>
      <c r="R223" s="2" t="s">
        <v>51</v>
      </c>
      <c r="S223" s="2">
        <v>4</v>
      </c>
      <c r="T223" s="2">
        <v>4</v>
      </c>
    </row>
    <row r="224" spans="1:20" x14ac:dyDescent="0.2">
      <c r="A224" s="2">
        <f t="shared" si="1"/>
        <v>223</v>
      </c>
      <c r="B224" s="2" t="s">
        <v>74</v>
      </c>
      <c r="C224" s="2">
        <v>1</v>
      </c>
      <c r="D224" s="2">
        <v>6</v>
      </c>
      <c r="E224" s="2">
        <v>33</v>
      </c>
      <c r="F224" s="2">
        <v>3</v>
      </c>
      <c r="G224" s="2">
        <v>149.63999999999999</v>
      </c>
      <c r="H224" s="2" t="s">
        <v>81</v>
      </c>
      <c r="I224" s="2" t="s">
        <v>78</v>
      </c>
      <c r="J224" s="2" t="s">
        <v>45</v>
      </c>
      <c r="K224" s="2" t="s">
        <v>74</v>
      </c>
      <c r="L224" s="2">
        <v>2024</v>
      </c>
      <c r="M224" s="2">
        <v>224</v>
      </c>
      <c r="N224" s="2">
        <v>10</v>
      </c>
      <c r="O224" s="2" t="s">
        <v>50</v>
      </c>
      <c r="P224" s="2" t="s">
        <v>50</v>
      </c>
      <c r="Q224" s="2" t="s">
        <v>55</v>
      </c>
      <c r="R224" s="2" t="s">
        <v>51</v>
      </c>
      <c r="S224" s="2">
        <v>5</v>
      </c>
      <c r="T224" s="2">
        <v>7</v>
      </c>
    </row>
    <row r="225" spans="1:20" x14ac:dyDescent="0.2">
      <c r="A225" s="2">
        <f t="shared" ref="A225:A288" si="2">A224+1</f>
        <v>224</v>
      </c>
      <c r="B225" s="2" t="s">
        <v>74</v>
      </c>
      <c r="C225" s="2">
        <v>1</v>
      </c>
      <c r="D225" s="2">
        <v>1</v>
      </c>
      <c r="E225" s="2">
        <v>65</v>
      </c>
      <c r="F225" s="2">
        <v>1</v>
      </c>
      <c r="G225" s="2">
        <v>244.61</v>
      </c>
      <c r="H225" s="2" t="s">
        <v>82</v>
      </c>
      <c r="I225" s="2" t="s">
        <v>78</v>
      </c>
      <c r="J225" s="2" t="s">
        <v>45</v>
      </c>
      <c r="K225" s="2" t="s">
        <v>74</v>
      </c>
      <c r="L225" s="2">
        <v>2023</v>
      </c>
      <c r="M225" s="2">
        <v>125</v>
      </c>
      <c r="N225" s="2">
        <v>1</v>
      </c>
      <c r="O225" s="2" t="s">
        <v>50</v>
      </c>
      <c r="P225" s="2" t="s">
        <v>51</v>
      </c>
      <c r="Q225" s="2" t="s">
        <v>54</v>
      </c>
      <c r="R225" s="2" t="s">
        <v>50</v>
      </c>
      <c r="S225" s="2">
        <v>8</v>
      </c>
      <c r="T225" s="2">
        <v>3</v>
      </c>
    </row>
    <row r="226" spans="1:20" x14ac:dyDescent="0.2">
      <c r="A226" s="2">
        <f t="shared" si="2"/>
        <v>225</v>
      </c>
      <c r="B226" s="2" t="s">
        <v>74</v>
      </c>
      <c r="C226" s="2">
        <v>1</v>
      </c>
      <c r="D226" s="2">
        <v>4</v>
      </c>
      <c r="E226" s="2">
        <v>4</v>
      </c>
      <c r="F226" s="2">
        <v>58</v>
      </c>
      <c r="G226" s="2">
        <v>152.83000000000001</v>
      </c>
      <c r="H226" s="2" t="s">
        <v>83</v>
      </c>
      <c r="I226" s="2" t="s">
        <v>84</v>
      </c>
      <c r="J226" s="2" t="s">
        <v>45</v>
      </c>
      <c r="K226" s="2" t="s">
        <v>74</v>
      </c>
      <c r="L226" s="2">
        <v>2020</v>
      </c>
      <c r="M226" s="2">
        <v>195</v>
      </c>
      <c r="N226" s="2">
        <v>9</v>
      </c>
      <c r="O226" s="2" t="s">
        <v>51</v>
      </c>
      <c r="P226" s="2" t="s">
        <v>51</v>
      </c>
      <c r="Q226" s="2" t="s">
        <v>55</v>
      </c>
      <c r="R226" s="2" t="s">
        <v>51</v>
      </c>
      <c r="S226" s="2">
        <v>0</v>
      </c>
      <c r="T226" s="2">
        <v>7</v>
      </c>
    </row>
    <row r="227" spans="1:20" x14ac:dyDescent="0.2">
      <c r="A227" s="2">
        <f t="shared" si="2"/>
        <v>226</v>
      </c>
      <c r="B227" s="2" t="s">
        <v>74</v>
      </c>
      <c r="C227" s="2">
        <v>1</v>
      </c>
      <c r="D227" s="2">
        <v>7</v>
      </c>
      <c r="E227" s="2">
        <v>24</v>
      </c>
      <c r="F227" s="2">
        <v>16</v>
      </c>
      <c r="G227" s="2">
        <v>136.19999999999999</v>
      </c>
      <c r="H227" s="2" t="s">
        <v>85</v>
      </c>
      <c r="I227" s="2" t="s">
        <v>86</v>
      </c>
      <c r="J227" s="2" t="s">
        <v>45</v>
      </c>
      <c r="K227" s="2" t="s">
        <v>74</v>
      </c>
      <c r="L227" s="2">
        <v>2015</v>
      </c>
      <c r="M227" s="2">
        <v>186</v>
      </c>
      <c r="N227" s="2">
        <v>6</v>
      </c>
      <c r="O227" s="2" t="s">
        <v>50</v>
      </c>
      <c r="P227" s="2" t="s">
        <v>50</v>
      </c>
      <c r="Q227" s="2" t="s">
        <v>52</v>
      </c>
      <c r="R227" s="2" t="s">
        <v>51</v>
      </c>
      <c r="S227" s="2">
        <v>7</v>
      </c>
      <c r="T227" s="2">
        <v>6</v>
      </c>
    </row>
    <row r="228" spans="1:20" x14ac:dyDescent="0.2">
      <c r="A228" s="2">
        <f t="shared" si="2"/>
        <v>227</v>
      </c>
      <c r="B228" s="2" t="s">
        <v>74</v>
      </c>
      <c r="C228" s="2">
        <v>2</v>
      </c>
      <c r="D228" s="2">
        <v>3</v>
      </c>
      <c r="E228" s="2">
        <v>58</v>
      </c>
      <c r="F228" s="2">
        <v>36</v>
      </c>
      <c r="G228" s="2">
        <v>88.55</v>
      </c>
      <c r="H228" s="2" t="s">
        <v>81</v>
      </c>
      <c r="I228" s="2" t="s">
        <v>84</v>
      </c>
      <c r="J228" s="2" t="s">
        <v>45</v>
      </c>
      <c r="K228" s="2" t="s">
        <v>74</v>
      </c>
      <c r="L228" s="2">
        <v>2019</v>
      </c>
      <c r="M228" s="2">
        <v>133</v>
      </c>
      <c r="N228" s="2">
        <v>7</v>
      </c>
      <c r="O228" s="2" t="s">
        <v>50</v>
      </c>
      <c r="P228" s="2" t="s">
        <v>51</v>
      </c>
      <c r="Q228" s="2" t="s">
        <v>55</v>
      </c>
      <c r="R228" s="2" t="s">
        <v>51</v>
      </c>
      <c r="S228" s="2">
        <v>3</v>
      </c>
      <c r="T228" s="2">
        <v>1</v>
      </c>
    </row>
    <row r="229" spans="1:20" x14ac:dyDescent="0.2">
      <c r="A229" s="2">
        <f t="shared" si="2"/>
        <v>228</v>
      </c>
      <c r="B229" s="2" t="s">
        <v>74</v>
      </c>
      <c r="C229" s="2">
        <v>2</v>
      </c>
      <c r="D229" s="2">
        <v>4</v>
      </c>
      <c r="E229" s="2">
        <v>40</v>
      </c>
      <c r="F229" s="2">
        <v>7</v>
      </c>
      <c r="G229" s="2">
        <v>166.2</v>
      </c>
      <c r="H229" s="2" t="s">
        <v>87</v>
      </c>
      <c r="I229" s="2" t="s">
        <v>76</v>
      </c>
      <c r="J229" s="2" t="s">
        <v>45</v>
      </c>
      <c r="K229" s="2" t="s">
        <v>74</v>
      </c>
      <c r="L229" s="2">
        <v>2016</v>
      </c>
      <c r="M229" s="2">
        <v>171</v>
      </c>
      <c r="N229" s="2">
        <v>5</v>
      </c>
      <c r="O229" s="2" t="s">
        <v>51</v>
      </c>
      <c r="P229" s="2" t="s">
        <v>51</v>
      </c>
      <c r="Q229" s="2" t="s">
        <v>54</v>
      </c>
      <c r="R229" s="2" t="s">
        <v>50</v>
      </c>
      <c r="S229" s="2">
        <v>7</v>
      </c>
      <c r="T229" s="2">
        <v>8</v>
      </c>
    </row>
    <row r="230" spans="1:20" x14ac:dyDescent="0.2">
      <c r="A230" s="2">
        <f t="shared" si="2"/>
        <v>229</v>
      </c>
      <c r="B230" s="2" t="s">
        <v>74</v>
      </c>
      <c r="C230" s="2">
        <v>1</v>
      </c>
      <c r="D230" s="2">
        <v>7</v>
      </c>
      <c r="E230" s="2">
        <v>37</v>
      </c>
      <c r="F230" s="2">
        <v>8</v>
      </c>
      <c r="G230" s="2">
        <v>127.42</v>
      </c>
      <c r="H230" s="2" t="s">
        <v>87</v>
      </c>
      <c r="I230" s="2" t="s">
        <v>76</v>
      </c>
      <c r="J230" s="2" t="s">
        <v>45</v>
      </c>
      <c r="K230" s="2" t="s">
        <v>74</v>
      </c>
      <c r="L230" s="2">
        <v>2019</v>
      </c>
      <c r="M230" s="2">
        <v>215</v>
      </c>
      <c r="N230" s="2">
        <v>7</v>
      </c>
      <c r="O230" s="2" t="s">
        <v>50</v>
      </c>
      <c r="P230" s="2" t="s">
        <v>51</v>
      </c>
      <c r="Q230" s="2" t="s">
        <v>54</v>
      </c>
      <c r="R230" s="2" t="s">
        <v>50</v>
      </c>
      <c r="S230" s="2">
        <v>3</v>
      </c>
      <c r="T230" s="2">
        <v>0</v>
      </c>
    </row>
    <row r="231" spans="1:20" x14ac:dyDescent="0.2">
      <c r="A231" s="2">
        <f t="shared" si="2"/>
        <v>230</v>
      </c>
      <c r="B231" s="2" t="s">
        <v>74</v>
      </c>
      <c r="C231" s="2">
        <v>2</v>
      </c>
      <c r="D231" s="2">
        <v>4</v>
      </c>
      <c r="E231" s="2">
        <v>58</v>
      </c>
      <c r="F231" s="2">
        <v>20</v>
      </c>
      <c r="G231" s="2">
        <v>228.42</v>
      </c>
      <c r="H231" s="2" t="s">
        <v>83</v>
      </c>
      <c r="I231" s="2" t="s">
        <v>78</v>
      </c>
      <c r="J231" s="2" t="s">
        <v>45</v>
      </c>
      <c r="K231" s="2" t="s">
        <v>74</v>
      </c>
      <c r="L231" s="2">
        <v>2019</v>
      </c>
      <c r="M231" s="2">
        <v>218</v>
      </c>
      <c r="N231" s="2">
        <v>5</v>
      </c>
      <c r="O231" s="2" t="s">
        <v>50</v>
      </c>
      <c r="P231" s="2" t="s">
        <v>51</v>
      </c>
      <c r="Q231" s="2" t="s">
        <v>52</v>
      </c>
      <c r="R231" s="2" t="s">
        <v>51</v>
      </c>
      <c r="S231" s="2">
        <v>4</v>
      </c>
      <c r="T231" s="2">
        <v>0</v>
      </c>
    </row>
    <row r="232" spans="1:20" x14ac:dyDescent="0.2">
      <c r="A232" s="2">
        <f t="shared" si="2"/>
        <v>231</v>
      </c>
      <c r="B232" s="2" t="s">
        <v>74</v>
      </c>
      <c r="C232" s="2">
        <v>2</v>
      </c>
      <c r="D232" s="2">
        <v>2</v>
      </c>
      <c r="E232" s="2">
        <v>13</v>
      </c>
      <c r="F232" s="2">
        <v>59</v>
      </c>
      <c r="G232" s="2">
        <v>103.25</v>
      </c>
      <c r="H232" s="2" t="s">
        <v>88</v>
      </c>
      <c r="I232" s="2" t="s">
        <v>78</v>
      </c>
      <c r="J232" s="2" t="s">
        <v>45</v>
      </c>
      <c r="K232" s="2" t="s">
        <v>74</v>
      </c>
      <c r="L232" s="2">
        <v>2024</v>
      </c>
      <c r="M232" s="2">
        <v>132</v>
      </c>
      <c r="N232" s="2">
        <v>3</v>
      </c>
      <c r="O232" s="2" t="s">
        <v>50</v>
      </c>
      <c r="P232" s="2" t="s">
        <v>50</v>
      </c>
      <c r="Q232" s="2" t="s">
        <v>52</v>
      </c>
      <c r="R232" s="2" t="s">
        <v>51</v>
      </c>
      <c r="S232" s="2">
        <v>6</v>
      </c>
      <c r="T232" s="2">
        <v>4</v>
      </c>
    </row>
    <row r="233" spans="1:20" x14ac:dyDescent="0.2">
      <c r="A233" s="2">
        <f t="shared" si="2"/>
        <v>232</v>
      </c>
      <c r="B233" s="2" t="s">
        <v>74</v>
      </c>
      <c r="C233" s="2">
        <v>1</v>
      </c>
      <c r="D233" s="2">
        <v>3</v>
      </c>
      <c r="E233" s="2">
        <v>6</v>
      </c>
      <c r="F233" s="2">
        <v>21</v>
      </c>
      <c r="G233" s="2">
        <v>61.41</v>
      </c>
      <c r="H233" s="2" t="s">
        <v>88</v>
      </c>
      <c r="I233" s="2" t="s">
        <v>84</v>
      </c>
      <c r="J233" s="2" t="s">
        <v>45</v>
      </c>
      <c r="K233" s="2" t="s">
        <v>74</v>
      </c>
      <c r="L233" s="2">
        <v>2020</v>
      </c>
      <c r="M233" s="2">
        <v>231</v>
      </c>
      <c r="N233" s="2">
        <v>6</v>
      </c>
      <c r="O233" s="2" t="s">
        <v>50</v>
      </c>
      <c r="P233" s="2" t="s">
        <v>50</v>
      </c>
      <c r="Q233" s="2" t="s">
        <v>54</v>
      </c>
      <c r="R233" s="2" t="s">
        <v>51</v>
      </c>
      <c r="S233" s="2">
        <v>5</v>
      </c>
      <c r="T233" s="2">
        <v>9</v>
      </c>
    </row>
    <row r="234" spans="1:20" x14ac:dyDescent="0.2">
      <c r="A234" s="2">
        <f t="shared" si="2"/>
        <v>233</v>
      </c>
      <c r="B234" s="2" t="s">
        <v>74</v>
      </c>
      <c r="C234" s="2">
        <v>1</v>
      </c>
      <c r="D234" s="2">
        <v>1</v>
      </c>
      <c r="E234" s="2">
        <v>6</v>
      </c>
      <c r="F234" s="2">
        <v>6</v>
      </c>
      <c r="G234" s="2">
        <v>220.01</v>
      </c>
      <c r="H234" s="2" t="s">
        <v>85</v>
      </c>
      <c r="I234" s="2" t="s">
        <v>89</v>
      </c>
      <c r="J234" s="2" t="s">
        <v>45</v>
      </c>
      <c r="K234" s="2" t="s">
        <v>74</v>
      </c>
      <c r="L234" s="2">
        <v>2024</v>
      </c>
      <c r="M234" s="2">
        <v>229</v>
      </c>
      <c r="N234" s="2">
        <v>3</v>
      </c>
      <c r="O234" s="2" t="s">
        <v>50</v>
      </c>
      <c r="P234" s="2" t="s">
        <v>50</v>
      </c>
      <c r="Q234" s="2" t="s">
        <v>52</v>
      </c>
      <c r="R234" s="2" t="s">
        <v>50</v>
      </c>
      <c r="S234" s="2">
        <v>3</v>
      </c>
      <c r="T234" s="2">
        <v>3</v>
      </c>
    </row>
    <row r="235" spans="1:20" x14ac:dyDescent="0.2">
      <c r="A235" s="2">
        <f t="shared" si="2"/>
        <v>234</v>
      </c>
      <c r="B235" s="2" t="s">
        <v>74</v>
      </c>
      <c r="C235" s="2">
        <v>1</v>
      </c>
      <c r="D235" s="2">
        <v>3</v>
      </c>
      <c r="E235" s="2">
        <v>33</v>
      </c>
      <c r="F235" s="2">
        <v>39</v>
      </c>
      <c r="G235" s="2">
        <v>83</v>
      </c>
      <c r="H235" s="2" t="s">
        <v>81</v>
      </c>
      <c r="I235" s="2" t="s">
        <v>90</v>
      </c>
      <c r="J235" s="2" t="s">
        <v>45</v>
      </c>
      <c r="K235" s="2" t="s">
        <v>74</v>
      </c>
      <c r="L235" s="2">
        <v>2017</v>
      </c>
      <c r="M235" s="2">
        <v>234</v>
      </c>
      <c r="N235" s="2">
        <v>7</v>
      </c>
      <c r="O235" s="2" t="s">
        <v>50</v>
      </c>
      <c r="P235" s="2" t="s">
        <v>50</v>
      </c>
      <c r="Q235" s="2" t="s">
        <v>54</v>
      </c>
      <c r="R235" s="2" t="s">
        <v>51</v>
      </c>
      <c r="S235" s="2">
        <v>11</v>
      </c>
      <c r="T235" s="2">
        <v>6</v>
      </c>
    </row>
    <row r="236" spans="1:20" x14ac:dyDescent="0.2">
      <c r="A236" s="2">
        <f t="shared" si="2"/>
        <v>235</v>
      </c>
      <c r="B236" s="2" t="s">
        <v>74</v>
      </c>
      <c r="C236" s="2">
        <v>2</v>
      </c>
      <c r="D236" s="2">
        <v>8</v>
      </c>
      <c r="E236" s="2">
        <v>59</v>
      </c>
      <c r="F236" s="2">
        <v>27</v>
      </c>
      <c r="G236" s="2">
        <v>203.92</v>
      </c>
      <c r="H236" s="2" t="s">
        <v>83</v>
      </c>
      <c r="I236" s="2" t="s">
        <v>86</v>
      </c>
      <c r="J236" s="2" t="s">
        <v>45</v>
      </c>
      <c r="K236" s="2" t="s">
        <v>74</v>
      </c>
      <c r="L236" s="2">
        <v>2025</v>
      </c>
      <c r="M236" s="2">
        <v>193</v>
      </c>
      <c r="N236" s="2">
        <v>5</v>
      </c>
      <c r="O236" s="2" t="s">
        <v>50</v>
      </c>
      <c r="P236" s="2" t="s">
        <v>50</v>
      </c>
      <c r="Q236" s="2" t="s">
        <v>54</v>
      </c>
      <c r="R236" s="2" t="s">
        <v>51</v>
      </c>
      <c r="S236" s="2">
        <v>2</v>
      </c>
      <c r="T236" s="2">
        <v>10</v>
      </c>
    </row>
    <row r="237" spans="1:20" x14ac:dyDescent="0.2">
      <c r="A237" s="2">
        <f t="shared" si="2"/>
        <v>236</v>
      </c>
      <c r="B237" s="2" t="s">
        <v>74</v>
      </c>
      <c r="C237" s="2">
        <v>1</v>
      </c>
      <c r="D237" s="2">
        <v>10</v>
      </c>
      <c r="E237" s="2">
        <v>1</v>
      </c>
      <c r="F237" s="2">
        <v>42</v>
      </c>
      <c r="G237" s="2">
        <v>156.35</v>
      </c>
      <c r="H237" s="2" t="s">
        <v>81</v>
      </c>
      <c r="I237" s="2" t="s">
        <v>80</v>
      </c>
      <c r="J237" s="2" t="s">
        <v>45</v>
      </c>
      <c r="K237" s="2" t="s">
        <v>74</v>
      </c>
      <c r="L237" s="2">
        <v>2017</v>
      </c>
      <c r="M237" s="2">
        <v>146</v>
      </c>
      <c r="N237" s="2">
        <v>7</v>
      </c>
      <c r="O237" s="2" t="s">
        <v>50</v>
      </c>
      <c r="P237" s="2" t="s">
        <v>50</v>
      </c>
      <c r="Q237" s="2" t="s">
        <v>55</v>
      </c>
      <c r="R237" s="2" t="s">
        <v>50</v>
      </c>
      <c r="S237" s="2">
        <v>3</v>
      </c>
      <c r="T237" s="2">
        <v>2</v>
      </c>
    </row>
    <row r="238" spans="1:20" x14ac:dyDescent="0.2">
      <c r="A238" s="2">
        <f t="shared" si="2"/>
        <v>237</v>
      </c>
      <c r="B238" s="2" t="s">
        <v>74</v>
      </c>
      <c r="C238" s="2">
        <v>1</v>
      </c>
      <c r="D238" s="2">
        <v>1</v>
      </c>
      <c r="E238" s="2">
        <v>87</v>
      </c>
      <c r="F238" s="2">
        <v>53</v>
      </c>
      <c r="G238" s="2">
        <v>120.96</v>
      </c>
      <c r="H238" s="2" t="s">
        <v>77</v>
      </c>
      <c r="I238" s="2" t="s">
        <v>91</v>
      </c>
      <c r="J238" s="2" t="s">
        <v>45</v>
      </c>
      <c r="K238" s="2" t="s">
        <v>74</v>
      </c>
      <c r="L238" s="2">
        <v>2022</v>
      </c>
      <c r="M238" s="2">
        <v>138</v>
      </c>
      <c r="N238" s="2">
        <v>9</v>
      </c>
      <c r="O238" s="2" t="s">
        <v>50</v>
      </c>
      <c r="P238" s="2" t="s">
        <v>50</v>
      </c>
      <c r="Q238" s="2" t="s">
        <v>54</v>
      </c>
      <c r="R238" s="2" t="s">
        <v>51</v>
      </c>
      <c r="S238" s="2">
        <v>10</v>
      </c>
      <c r="T238" s="2">
        <v>5</v>
      </c>
    </row>
    <row r="239" spans="1:20" x14ac:dyDescent="0.2">
      <c r="A239" s="2">
        <f t="shared" si="2"/>
        <v>238</v>
      </c>
      <c r="B239" s="2" t="s">
        <v>74</v>
      </c>
      <c r="C239" s="2">
        <v>1</v>
      </c>
      <c r="D239" s="2">
        <v>9</v>
      </c>
      <c r="E239" s="2">
        <v>14</v>
      </c>
      <c r="F239" s="2">
        <v>5</v>
      </c>
      <c r="G239" s="2">
        <v>206.38</v>
      </c>
      <c r="H239" s="2" t="s">
        <v>88</v>
      </c>
      <c r="I239" s="2" t="s">
        <v>86</v>
      </c>
      <c r="J239" s="2" t="s">
        <v>45</v>
      </c>
      <c r="K239" s="2" t="s">
        <v>74</v>
      </c>
      <c r="L239" s="2">
        <v>2024</v>
      </c>
      <c r="M239" s="2">
        <v>139</v>
      </c>
      <c r="N239" s="2">
        <v>3</v>
      </c>
      <c r="O239" s="2" t="s">
        <v>50</v>
      </c>
      <c r="P239" s="2" t="s">
        <v>51</v>
      </c>
      <c r="Q239" s="2" t="s">
        <v>55</v>
      </c>
      <c r="R239" s="2" t="s">
        <v>51</v>
      </c>
      <c r="S239" s="2">
        <v>4</v>
      </c>
      <c r="T239" s="2">
        <v>3</v>
      </c>
    </row>
    <row r="240" spans="1:20" x14ac:dyDescent="0.2">
      <c r="A240" s="2">
        <f t="shared" si="2"/>
        <v>239</v>
      </c>
      <c r="B240" s="2" t="s">
        <v>74</v>
      </c>
      <c r="C240" s="2">
        <v>1</v>
      </c>
      <c r="D240" s="2">
        <v>11</v>
      </c>
      <c r="E240" s="2">
        <v>27</v>
      </c>
      <c r="F240" s="2">
        <v>44</v>
      </c>
      <c r="G240" s="2">
        <v>131.69</v>
      </c>
      <c r="H240" s="2" t="s">
        <v>92</v>
      </c>
      <c r="I240" s="2" t="s">
        <v>76</v>
      </c>
      <c r="J240" s="2" t="s">
        <v>45</v>
      </c>
      <c r="K240" s="2" t="s">
        <v>74</v>
      </c>
      <c r="L240" s="2">
        <v>2018</v>
      </c>
      <c r="M240" s="2">
        <v>121</v>
      </c>
      <c r="N240" s="2">
        <v>8</v>
      </c>
      <c r="O240" s="2" t="s">
        <v>51</v>
      </c>
      <c r="P240" s="2" t="s">
        <v>50</v>
      </c>
      <c r="Q240" s="2" t="s">
        <v>54</v>
      </c>
      <c r="R240" s="2" t="s">
        <v>50</v>
      </c>
      <c r="S240" s="2">
        <v>3</v>
      </c>
      <c r="T240" s="2">
        <v>1</v>
      </c>
    </row>
    <row r="241" spans="1:20" x14ac:dyDescent="0.2">
      <c r="A241" s="2">
        <f t="shared" si="2"/>
        <v>240</v>
      </c>
      <c r="B241" s="2" t="s">
        <v>74</v>
      </c>
      <c r="C241" s="2">
        <v>1</v>
      </c>
      <c r="D241" s="2">
        <v>11</v>
      </c>
      <c r="E241" s="2">
        <v>90</v>
      </c>
      <c r="F241" s="2">
        <v>6</v>
      </c>
      <c r="G241" s="2">
        <v>86.11</v>
      </c>
      <c r="H241" s="2" t="s">
        <v>92</v>
      </c>
      <c r="I241" s="2" t="s">
        <v>91</v>
      </c>
      <c r="J241" s="2" t="s">
        <v>45</v>
      </c>
      <c r="K241" s="2" t="s">
        <v>74</v>
      </c>
      <c r="L241" s="2">
        <v>2015</v>
      </c>
      <c r="M241" s="2">
        <v>197</v>
      </c>
      <c r="N241" s="2">
        <v>10</v>
      </c>
      <c r="O241" s="2" t="s">
        <v>50</v>
      </c>
      <c r="P241" s="2" t="s">
        <v>50</v>
      </c>
      <c r="Q241" s="2" t="s">
        <v>52</v>
      </c>
      <c r="R241" s="2" t="s">
        <v>50</v>
      </c>
      <c r="S241" s="2">
        <v>1</v>
      </c>
      <c r="T241" s="2">
        <v>0</v>
      </c>
    </row>
    <row r="242" spans="1:20" x14ac:dyDescent="0.2">
      <c r="A242" s="2">
        <f t="shared" si="2"/>
        <v>241</v>
      </c>
      <c r="B242" s="2" t="s">
        <v>74</v>
      </c>
      <c r="C242" s="2">
        <v>2</v>
      </c>
      <c r="D242" s="2">
        <v>4</v>
      </c>
      <c r="E242" s="2">
        <v>73</v>
      </c>
      <c r="F242" s="2">
        <v>29</v>
      </c>
      <c r="G242" s="2">
        <v>247.54</v>
      </c>
      <c r="H242" s="2" t="s">
        <v>87</v>
      </c>
      <c r="I242" s="2" t="s">
        <v>89</v>
      </c>
      <c r="J242" s="2" t="s">
        <v>45</v>
      </c>
      <c r="K242" s="2" t="s">
        <v>74</v>
      </c>
      <c r="L242" s="2">
        <v>2025</v>
      </c>
      <c r="M242" s="2">
        <v>240</v>
      </c>
      <c r="N242" s="2">
        <v>5</v>
      </c>
      <c r="O242" s="2" t="s">
        <v>50</v>
      </c>
      <c r="P242" s="2" t="s">
        <v>51</v>
      </c>
      <c r="Q242" s="2" t="s">
        <v>55</v>
      </c>
      <c r="R242" s="2" t="s">
        <v>51</v>
      </c>
      <c r="S242" s="2">
        <v>11</v>
      </c>
      <c r="T242" s="2">
        <v>9</v>
      </c>
    </row>
    <row r="243" spans="1:20" x14ac:dyDescent="0.2">
      <c r="A243" s="2">
        <f t="shared" si="2"/>
        <v>242</v>
      </c>
      <c r="B243" s="2" t="s">
        <v>74</v>
      </c>
      <c r="C243" s="2">
        <v>1</v>
      </c>
      <c r="D243" s="2">
        <v>4</v>
      </c>
      <c r="E243" s="2">
        <v>29</v>
      </c>
      <c r="F243" s="2">
        <v>44</v>
      </c>
      <c r="G243" s="2">
        <v>116.82</v>
      </c>
      <c r="H243" s="2" t="s">
        <v>77</v>
      </c>
      <c r="I243" s="2" t="s">
        <v>89</v>
      </c>
      <c r="J243" s="2" t="s">
        <v>45</v>
      </c>
      <c r="K243" s="2" t="s">
        <v>74</v>
      </c>
      <c r="L243" s="2">
        <v>2015</v>
      </c>
      <c r="M243" s="2">
        <v>172</v>
      </c>
      <c r="N243" s="2">
        <v>7</v>
      </c>
      <c r="O243" s="2" t="s">
        <v>50</v>
      </c>
      <c r="P243" s="2" t="s">
        <v>50</v>
      </c>
      <c r="Q243" s="2" t="s">
        <v>55</v>
      </c>
      <c r="R243" s="2" t="s">
        <v>51</v>
      </c>
      <c r="S243" s="2">
        <v>5</v>
      </c>
      <c r="T243" s="2">
        <v>1</v>
      </c>
    </row>
    <row r="244" spans="1:20" x14ac:dyDescent="0.2">
      <c r="A244" s="2">
        <f t="shared" si="2"/>
        <v>243</v>
      </c>
      <c r="B244" s="2" t="s">
        <v>74</v>
      </c>
      <c r="C244" s="2">
        <v>2</v>
      </c>
      <c r="D244" s="2">
        <v>1</v>
      </c>
      <c r="E244" s="2">
        <v>5</v>
      </c>
      <c r="F244" s="2">
        <v>46</v>
      </c>
      <c r="G244" s="2">
        <v>94.86</v>
      </c>
      <c r="H244" s="2" t="s">
        <v>75</v>
      </c>
      <c r="I244" s="2" t="s">
        <v>91</v>
      </c>
      <c r="J244" s="2" t="s">
        <v>45</v>
      </c>
      <c r="K244" s="2" t="s">
        <v>74</v>
      </c>
      <c r="L244" s="2">
        <v>2023</v>
      </c>
      <c r="M244" s="2">
        <v>184</v>
      </c>
      <c r="N244" s="2">
        <v>3</v>
      </c>
      <c r="O244" s="2" t="s">
        <v>51</v>
      </c>
      <c r="P244" s="2" t="s">
        <v>50</v>
      </c>
      <c r="Q244" s="2" t="s">
        <v>52</v>
      </c>
      <c r="R244" s="2" t="s">
        <v>50</v>
      </c>
      <c r="S244" s="2">
        <v>2</v>
      </c>
      <c r="T244" s="2">
        <v>2</v>
      </c>
    </row>
    <row r="245" spans="1:20" x14ac:dyDescent="0.2">
      <c r="A245" s="2">
        <f t="shared" si="2"/>
        <v>244</v>
      </c>
      <c r="B245" s="2" t="s">
        <v>74</v>
      </c>
      <c r="C245" s="2">
        <v>2</v>
      </c>
      <c r="D245" s="2">
        <v>7</v>
      </c>
      <c r="E245" s="2">
        <v>16</v>
      </c>
      <c r="F245" s="2">
        <v>43</v>
      </c>
      <c r="G245" s="2">
        <v>230.57</v>
      </c>
      <c r="H245" s="2" t="s">
        <v>83</v>
      </c>
      <c r="I245" s="2" t="s">
        <v>89</v>
      </c>
      <c r="J245" s="2" t="s">
        <v>45</v>
      </c>
      <c r="K245" s="2" t="s">
        <v>74</v>
      </c>
      <c r="L245" s="2">
        <v>2024</v>
      </c>
      <c r="M245" s="2">
        <v>187</v>
      </c>
      <c r="N245" s="2">
        <v>3</v>
      </c>
      <c r="O245" s="2" t="s">
        <v>51</v>
      </c>
      <c r="P245" s="2" t="s">
        <v>50</v>
      </c>
      <c r="Q245" s="2" t="s">
        <v>52</v>
      </c>
      <c r="R245" s="2" t="s">
        <v>51</v>
      </c>
      <c r="S245" s="2">
        <v>0</v>
      </c>
      <c r="T245" s="2">
        <v>10</v>
      </c>
    </row>
    <row r="246" spans="1:20" x14ac:dyDescent="0.2">
      <c r="A246" s="2">
        <f t="shared" si="2"/>
        <v>245</v>
      </c>
      <c r="B246" s="2" t="s">
        <v>74</v>
      </c>
      <c r="C246" s="2">
        <v>1</v>
      </c>
      <c r="D246" s="2">
        <v>2</v>
      </c>
      <c r="E246" s="2">
        <v>60</v>
      </c>
      <c r="F246" s="2">
        <v>3</v>
      </c>
      <c r="G246" s="2">
        <v>83.18</v>
      </c>
      <c r="H246" s="2" t="s">
        <v>75</v>
      </c>
      <c r="I246" s="2" t="s">
        <v>80</v>
      </c>
      <c r="J246" s="2" t="s">
        <v>45</v>
      </c>
      <c r="K246" s="2" t="s">
        <v>74</v>
      </c>
      <c r="L246" s="2">
        <v>2016</v>
      </c>
      <c r="M246" s="2">
        <v>199</v>
      </c>
      <c r="N246" s="2">
        <v>2</v>
      </c>
      <c r="O246" s="2" t="s">
        <v>51</v>
      </c>
      <c r="P246" s="2" t="s">
        <v>51</v>
      </c>
      <c r="Q246" s="2" t="s">
        <v>55</v>
      </c>
      <c r="R246" s="2" t="s">
        <v>50</v>
      </c>
      <c r="S246" s="2">
        <v>0</v>
      </c>
      <c r="T246" s="2">
        <v>2</v>
      </c>
    </row>
    <row r="247" spans="1:20" x14ac:dyDescent="0.2">
      <c r="A247" s="2">
        <f t="shared" si="2"/>
        <v>246</v>
      </c>
      <c r="B247" s="2" t="s">
        <v>74</v>
      </c>
      <c r="C247" s="2">
        <v>1</v>
      </c>
      <c r="D247" s="2">
        <v>7</v>
      </c>
      <c r="E247" s="2">
        <v>21</v>
      </c>
      <c r="F247" s="2">
        <v>3</v>
      </c>
      <c r="G247" s="2">
        <v>238.91</v>
      </c>
      <c r="H247" s="2" t="s">
        <v>81</v>
      </c>
      <c r="I247" s="2" t="s">
        <v>80</v>
      </c>
      <c r="J247" s="2" t="s">
        <v>45</v>
      </c>
      <c r="K247" s="2" t="s">
        <v>74</v>
      </c>
      <c r="L247" s="2">
        <v>2025</v>
      </c>
      <c r="M247" s="2">
        <v>235</v>
      </c>
      <c r="N247" s="2">
        <v>1</v>
      </c>
      <c r="O247" s="2" t="s">
        <v>50</v>
      </c>
      <c r="P247" s="2" t="s">
        <v>50</v>
      </c>
      <c r="Q247" s="2" t="s">
        <v>52</v>
      </c>
      <c r="R247" s="2" t="s">
        <v>50</v>
      </c>
      <c r="S247" s="2">
        <v>2</v>
      </c>
      <c r="T247" s="2">
        <v>2</v>
      </c>
    </row>
    <row r="248" spans="1:20" x14ac:dyDescent="0.2">
      <c r="A248" s="2">
        <f t="shared" si="2"/>
        <v>247</v>
      </c>
      <c r="B248" s="2" t="s">
        <v>74</v>
      </c>
      <c r="C248" s="2">
        <v>2</v>
      </c>
      <c r="D248" s="2">
        <v>5</v>
      </c>
      <c r="E248" s="2">
        <v>51</v>
      </c>
      <c r="F248" s="2">
        <v>54</v>
      </c>
      <c r="G248" s="2">
        <v>159.96</v>
      </c>
      <c r="H248" s="2" t="s">
        <v>79</v>
      </c>
      <c r="I248" s="2" t="s">
        <v>76</v>
      </c>
      <c r="J248" s="2" t="s">
        <v>45</v>
      </c>
      <c r="K248" s="2" t="s">
        <v>74</v>
      </c>
      <c r="L248" s="2">
        <v>2017</v>
      </c>
      <c r="M248" s="2">
        <v>124</v>
      </c>
      <c r="N248" s="2">
        <v>9</v>
      </c>
      <c r="O248" s="2" t="s">
        <v>51</v>
      </c>
      <c r="P248" s="2" t="s">
        <v>50</v>
      </c>
      <c r="Q248" s="2" t="s">
        <v>52</v>
      </c>
      <c r="R248" s="2" t="s">
        <v>51</v>
      </c>
      <c r="S248" s="2">
        <v>8</v>
      </c>
      <c r="T248" s="2">
        <v>8</v>
      </c>
    </row>
    <row r="249" spans="1:20" x14ac:dyDescent="0.2">
      <c r="A249" s="2">
        <f t="shared" si="2"/>
        <v>248</v>
      </c>
      <c r="B249" s="2" t="s">
        <v>74</v>
      </c>
      <c r="C249" s="2">
        <v>2</v>
      </c>
      <c r="D249" s="2">
        <v>3</v>
      </c>
      <c r="E249" s="2">
        <v>5</v>
      </c>
      <c r="F249" s="2">
        <v>55</v>
      </c>
      <c r="G249" s="2">
        <v>116.51</v>
      </c>
      <c r="H249" s="2" t="s">
        <v>85</v>
      </c>
      <c r="I249" s="2" t="s">
        <v>84</v>
      </c>
      <c r="J249" s="2" t="s">
        <v>45</v>
      </c>
      <c r="K249" s="2" t="s">
        <v>74</v>
      </c>
      <c r="L249" s="2">
        <v>2025</v>
      </c>
      <c r="M249" s="2">
        <v>185</v>
      </c>
      <c r="N249" s="2">
        <v>9</v>
      </c>
      <c r="O249" s="2" t="s">
        <v>51</v>
      </c>
      <c r="P249" s="2" t="s">
        <v>50</v>
      </c>
      <c r="Q249" s="2" t="s">
        <v>52</v>
      </c>
      <c r="R249" s="2" t="s">
        <v>50</v>
      </c>
      <c r="S249" s="2">
        <v>11</v>
      </c>
      <c r="T249" s="2">
        <v>0</v>
      </c>
    </row>
    <row r="250" spans="1:20" x14ac:dyDescent="0.2">
      <c r="A250" s="2">
        <f t="shared" si="2"/>
        <v>249</v>
      </c>
      <c r="B250" s="2" t="s">
        <v>74</v>
      </c>
      <c r="C250" s="2">
        <v>2</v>
      </c>
      <c r="D250" s="2">
        <v>1</v>
      </c>
      <c r="E250" s="2">
        <v>71</v>
      </c>
      <c r="F250" s="2">
        <v>16</v>
      </c>
      <c r="G250" s="2">
        <v>66.61</v>
      </c>
      <c r="H250" s="2" t="s">
        <v>87</v>
      </c>
      <c r="I250" s="2" t="s">
        <v>84</v>
      </c>
      <c r="J250" s="2" t="s">
        <v>45</v>
      </c>
      <c r="K250" s="2" t="s">
        <v>74</v>
      </c>
      <c r="L250" s="2">
        <v>2025</v>
      </c>
      <c r="M250" s="2">
        <v>223</v>
      </c>
      <c r="N250" s="2">
        <v>4</v>
      </c>
      <c r="O250" s="2" t="s">
        <v>51</v>
      </c>
      <c r="P250" s="2" t="s">
        <v>51</v>
      </c>
      <c r="Q250" s="2" t="s">
        <v>52</v>
      </c>
      <c r="R250" s="2" t="s">
        <v>51</v>
      </c>
      <c r="S250" s="2">
        <v>5</v>
      </c>
      <c r="T250" s="2">
        <v>0</v>
      </c>
    </row>
    <row r="251" spans="1:20" x14ac:dyDescent="0.2">
      <c r="A251" s="2">
        <f t="shared" si="2"/>
        <v>250</v>
      </c>
      <c r="B251" s="2" t="s">
        <v>74</v>
      </c>
      <c r="C251" s="2">
        <v>2</v>
      </c>
      <c r="D251" s="2">
        <v>3</v>
      </c>
      <c r="E251" s="2">
        <v>87</v>
      </c>
      <c r="F251" s="2">
        <v>15</v>
      </c>
      <c r="G251" s="2">
        <v>74.38</v>
      </c>
      <c r="H251" s="2" t="s">
        <v>88</v>
      </c>
      <c r="I251" s="2" t="s">
        <v>90</v>
      </c>
      <c r="J251" s="2" t="s">
        <v>45</v>
      </c>
      <c r="K251" s="2" t="s">
        <v>74</v>
      </c>
      <c r="L251" s="2">
        <v>2018</v>
      </c>
      <c r="M251" s="2">
        <v>155</v>
      </c>
      <c r="N251" s="2">
        <v>6</v>
      </c>
      <c r="O251" s="2" t="s">
        <v>50</v>
      </c>
      <c r="P251" s="2" t="s">
        <v>50</v>
      </c>
      <c r="Q251" s="2" t="s">
        <v>54</v>
      </c>
      <c r="R251" s="2" t="s">
        <v>50</v>
      </c>
      <c r="S251" s="2">
        <v>12</v>
      </c>
      <c r="T251" s="2">
        <v>6</v>
      </c>
    </row>
    <row r="252" spans="1:20" x14ac:dyDescent="0.2">
      <c r="A252" s="2">
        <f t="shared" si="2"/>
        <v>251</v>
      </c>
      <c r="B252" s="2" t="s">
        <v>74</v>
      </c>
      <c r="C252" s="2">
        <v>1</v>
      </c>
      <c r="D252" s="2">
        <v>3</v>
      </c>
      <c r="E252" s="2">
        <v>5</v>
      </c>
      <c r="F252" s="2">
        <v>8</v>
      </c>
      <c r="G252" s="2">
        <v>184.5</v>
      </c>
      <c r="H252" s="2" t="s">
        <v>85</v>
      </c>
      <c r="I252" s="2" t="s">
        <v>78</v>
      </c>
      <c r="J252" s="2" t="s">
        <v>45</v>
      </c>
      <c r="K252" s="2" t="s">
        <v>74</v>
      </c>
      <c r="L252" s="2">
        <v>2016</v>
      </c>
      <c r="M252" s="2">
        <v>189</v>
      </c>
      <c r="N252" s="2">
        <v>7</v>
      </c>
      <c r="O252" s="2" t="s">
        <v>50</v>
      </c>
      <c r="P252" s="2" t="s">
        <v>50</v>
      </c>
      <c r="Q252" s="2" t="s">
        <v>54</v>
      </c>
      <c r="R252" s="2" t="s">
        <v>51</v>
      </c>
      <c r="S252" s="2">
        <v>8</v>
      </c>
      <c r="T252" s="2">
        <v>10</v>
      </c>
    </row>
    <row r="253" spans="1:20" x14ac:dyDescent="0.2">
      <c r="A253" s="2">
        <f t="shared" si="2"/>
        <v>252</v>
      </c>
      <c r="B253" s="2" t="s">
        <v>74</v>
      </c>
      <c r="C253" s="2">
        <v>2</v>
      </c>
      <c r="D253" s="2">
        <v>9</v>
      </c>
      <c r="E253" s="2">
        <v>14</v>
      </c>
      <c r="F253" s="2">
        <v>60</v>
      </c>
      <c r="G253" s="2">
        <v>202.82</v>
      </c>
      <c r="H253" s="2" t="s">
        <v>83</v>
      </c>
      <c r="I253" s="2" t="s">
        <v>89</v>
      </c>
      <c r="J253" s="2" t="s">
        <v>45</v>
      </c>
      <c r="K253" s="2" t="s">
        <v>74</v>
      </c>
      <c r="L253" s="2">
        <v>2025</v>
      </c>
      <c r="M253" s="2">
        <v>124</v>
      </c>
      <c r="N253" s="2">
        <v>6</v>
      </c>
      <c r="O253" s="2" t="s">
        <v>50</v>
      </c>
      <c r="P253" s="2" t="s">
        <v>50</v>
      </c>
      <c r="Q253" s="2" t="s">
        <v>55</v>
      </c>
      <c r="R253" s="2" t="s">
        <v>51</v>
      </c>
      <c r="S253" s="2">
        <v>1</v>
      </c>
      <c r="T253" s="2">
        <v>10</v>
      </c>
    </row>
    <row r="254" spans="1:20" x14ac:dyDescent="0.2">
      <c r="A254" s="2">
        <f t="shared" si="2"/>
        <v>253</v>
      </c>
      <c r="B254" s="2" t="s">
        <v>74</v>
      </c>
      <c r="C254" s="2">
        <v>2</v>
      </c>
      <c r="D254" s="2">
        <v>8</v>
      </c>
      <c r="E254" s="2">
        <v>53</v>
      </c>
      <c r="F254" s="2">
        <v>49</v>
      </c>
      <c r="G254" s="2">
        <v>148.57</v>
      </c>
      <c r="H254" s="2" t="s">
        <v>82</v>
      </c>
      <c r="I254" s="2" t="s">
        <v>80</v>
      </c>
      <c r="J254" s="2" t="s">
        <v>45</v>
      </c>
      <c r="K254" s="2" t="s">
        <v>74</v>
      </c>
      <c r="L254" s="2">
        <v>2024</v>
      </c>
      <c r="M254" s="2">
        <v>151</v>
      </c>
      <c r="N254" s="2">
        <v>4</v>
      </c>
      <c r="O254" s="2" t="s">
        <v>51</v>
      </c>
      <c r="P254" s="2" t="s">
        <v>51</v>
      </c>
      <c r="Q254" s="2" t="s">
        <v>52</v>
      </c>
      <c r="R254" s="2" t="s">
        <v>51</v>
      </c>
      <c r="S254" s="2">
        <v>8</v>
      </c>
      <c r="T254" s="2">
        <v>10</v>
      </c>
    </row>
    <row r="255" spans="1:20" x14ac:dyDescent="0.2">
      <c r="A255" s="2">
        <f t="shared" si="2"/>
        <v>254</v>
      </c>
      <c r="B255" s="2" t="s">
        <v>74</v>
      </c>
      <c r="C255" s="2">
        <v>2</v>
      </c>
      <c r="D255" s="2">
        <v>6</v>
      </c>
      <c r="E255" s="2">
        <v>84</v>
      </c>
      <c r="F255" s="2">
        <v>23</v>
      </c>
      <c r="G255" s="2">
        <v>78.430000000000007</v>
      </c>
      <c r="H255" s="2" t="s">
        <v>88</v>
      </c>
      <c r="I255" s="2" t="s">
        <v>80</v>
      </c>
      <c r="J255" s="2" t="s">
        <v>45</v>
      </c>
      <c r="K255" s="2" t="s">
        <v>74</v>
      </c>
      <c r="L255" s="2">
        <v>2021</v>
      </c>
      <c r="M255" s="2">
        <v>144</v>
      </c>
      <c r="N255" s="2">
        <v>5</v>
      </c>
      <c r="O255" s="2" t="s">
        <v>50</v>
      </c>
      <c r="P255" s="2" t="s">
        <v>50</v>
      </c>
      <c r="Q255" s="2" t="s">
        <v>55</v>
      </c>
      <c r="R255" s="2" t="s">
        <v>50</v>
      </c>
      <c r="S255" s="2">
        <v>6</v>
      </c>
      <c r="T255" s="2">
        <v>2</v>
      </c>
    </row>
    <row r="256" spans="1:20" x14ac:dyDescent="0.2">
      <c r="A256" s="2">
        <f t="shared" si="2"/>
        <v>255</v>
      </c>
      <c r="B256" s="2" t="s">
        <v>74</v>
      </c>
      <c r="C256" s="2">
        <v>2</v>
      </c>
      <c r="D256" s="2">
        <v>4</v>
      </c>
      <c r="E256" s="2">
        <v>84</v>
      </c>
      <c r="F256" s="2">
        <v>33</v>
      </c>
      <c r="G256" s="2">
        <v>152.56</v>
      </c>
      <c r="H256" s="2" t="s">
        <v>82</v>
      </c>
      <c r="I256" s="2" t="s">
        <v>86</v>
      </c>
      <c r="J256" s="2" t="s">
        <v>45</v>
      </c>
      <c r="K256" s="2" t="s">
        <v>74</v>
      </c>
      <c r="L256" s="2">
        <v>2023</v>
      </c>
      <c r="M256" s="2">
        <v>165</v>
      </c>
      <c r="N256" s="2">
        <v>6</v>
      </c>
      <c r="O256" s="2" t="s">
        <v>51</v>
      </c>
      <c r="P256" s="2" t="s">
        <v>50</v>
      </c>
      <c r="Q256" s="2" t="s">
        <v>55</v>
      </c>
      <c r="R256" s="2" t="s">
        <v>50</v>
      </c>
      <c r="S256" s="2">
        <v>6</v>
      </c>
      <c r="T256" s="2">
        <v>10</v>
      </c>
    </row>
    <row r="257" spans="1:20" x14ac:dyDescent="0.2">
      <c r="A257" s="2">
        <f t="shared" si="2"/>
        <v>256</v>
      </c>
      <c r="B257" s="2" t="s">
        <v>74</v>
      </c>
      <c r="C257" s="2">
        <v>2</v>
      </c>
      <c r="D257" s="2">
        <v>10</v>
      </c>
      <c r="E257" s="2">
        <v>19</v>
      </c>
      <c r="F257" s="2">
        <v>32</v>
      </c>
      <c r="G257" s="2">
        <v>164.49</v>
      </c>
      <c r="H257" s="2" t="s">
        <v>92</v>
      </c>
      <c r="I257" s="2" t="s">
        <v>84</v>
      </c>
      <c r="J257" s="2" t="s">
        <v>45</v>
      </c>
      <c r="K257" s="2" t="s">
        <v>74</v>
      </c>
      <c r="L257" s="2">
        <v>2025</v>
      </c>
      <c r="M257" s="2">
        <v>137</v>
      </c>
      <c r="N257" s="2">
        <v>2</v>
      </c>
      <c r="O257" s="2" t="s">
        <v>50</v>
      </c>
      <c r="P257" s="2" t="s">
        <v>51</v>
      </c>
      <c r="Q257" s="2" t="s">
        <v>55</v>
      </c>
      <c r="R257" s="2" t="s">
        <v>51</v>
      </c>
      <c r="S257" s="2">
        <v>8</v>
      </c>
      <c r="T257" s="2">
        <v>3</v>
      </c>
    </row>
    <row r="258" spans="1:20" x14ac:dyDescent="0.2">
      <c r="A258" s="2">
        <f t="shared" si="2"/>
        <v>257</v>
      </c>
      <c r="B258" s="2" t="s">
        <v>74</v>
      </c>
      <c r="C258" s="2">
        <v>2</v>
      </c>
      <c r="D258" s="2">
        <v>2</v>
      </c>
      <c r="E258" s="2">
        <v>79</v>
      </c>
      <c r="F258" s="2">
        <v>4</v>
      </c>
      <c r="G258" s="2">
        <v>74.88</v>
      </c>
      <c r="H258" s="2" t="s">
        <v>88</v>
      </c>
      <c r="I258" s="2" t="s">
        <v>89</v>
      </c>
      <c r="J258" s="2" t="s">
        <v>45</v>
      </c>
      <c r="K258" s="2" t="s">
        <v>74</v>
      </c>
      <c r="L258" s="2">
        <v>2016</v>
      </c>
      <c r="M258" s="2">
        <v>159</v>
      </c>
      <c r="N258" s="2">
        <v>0</v>
      </c>
      <c r="O258" s="2" t="s">
        <v>50</v>
      </c>
      <c r="P258" s="2" t="s">
        <v>50</v>
      </c>
      <c r="Q258" s="2" t="s">
        <v>55</v>
      </c>
      <c r="R258" s="2" t="s">
        <v>50</v>
      </c>
      <c r="S258" s="2">
        <v>8</v>
      </c>
      <c r="T258" s="2">
        <v>10</v>
      </c>
    </row>
    <row r="259" spans="1:20" x14ac:dyDescent="0.2">
      <c r="A259" s="2">
        <f t="shared" si="2"/>
        <v>258</v>
      </c>
      <c r="B259" s="2" t="s">
        <v>74</v>
      </c>
      <c r="C259" s="2">
        <v>2</v>
      </c>
      <c r="D259" s="2">
        <v>4</v>
      </c>
      <c r="E259" s="2">
        <v>19</v>
      </c>
      <c r="F259" s="2">
        <v>3</v>
      </c>
      <c r="G259" s="2">
        <v>217.4</v>
      </c>
      <c r="H259" s="2" t="s">
        <v>85</v>
      </c>
      <c r="I259" s="2" t="s">
        <v>90</v>
      </c>
      <c r="J259" s="2" t="s">
        <v>45</v>
      </c>
      <c r="K259" s="2" t="s">
        <v>74</v>
      </c>
      <c r="L259" s="2">
        <v>2022</v>
      </c>
      <c r="M259" s="2">
        <v>154</v>
      </c>
      <c r="N259" s="2">
        <v>7</v>
      </c>
      <c r="O259" s="2" t="s">
        <v>50</v>
      </c>
      <c r="P259" s="2" t="s">
        <v>50</v>
      </c>
      <c r="Q259" s="2" t="s">
        <v>54</v>
      </c>
      <c r="R259" s="2" t="s">
        <v>50</v>
      </c>
      <c r="S259" s="2">
        <v>1</v>
      </c>
      <c r="T259" s="2">
        <v>5</v>
      </c>
    </row>
    <row r="260" spans="1:20" x14ac:dyDescent="0.2">
      <c r="A260" s="2">
        <f t="shared" si="2"/>
        <v>259</v>
      </c>
      <c r="B260" s="2" t="s">
        <v>74</v>
      </c>
      <c r="C260" s="2">
        <v>2</v>
      </c>
      <c r="D260" s="2">
        <v>5</v>
      </c>
      <c r="E260" s="2">
        <v>0</v>
      </c>
      <c r="F260" s="2">
        <v>29</v>
      </c>
      <c r="G260" s="2">
        <v>164.02</v>
      </c>
      <c r="H260" s="2" t="s">
        <v>85</v>
      </c>
      <c r="I260" s="2" t="s">
        <v>90</v>
      </c>
      <c r="J260" s="2" t="s">
        <v>45</v>
      </c>
      <c r="K260" s="2" t="s">
        <v>74</v>
      </c>
      <c r="L260" s="2">
        <v>2019</v>
      </c>
      <c r="M260" s="2">
        <v>225</v>
      </c>
      <c r="N260" s="2">
        <v>6</v>
      </c>
      <c r="O260" s="2" t="s">
        <v>50</v>
      </c>
      <c r="P260" s="2" t="s">
        <v>51</v>
      </c>
      <c r="Q260" s="2" t="s">
        <v>52</v>
      </c>
      <c r="R260" s="2" t="s">
        <v>50</v>
      </c>
      <c r="S260" s="2">
        <v>2</v>
      </c>
      <c r="T260" s="2">
        <v>8</v>
      </c>
    </row>
    <row r="261" spans="1:20" x14ac:dyDescent="0.2">
      <c r="A261" s="2">
        <f t="shared" si="2"/>
        <v>260</v>
      </c>
      <c r="B261" s="2" t="s">
        <v>74</v>
      </c>
      <c r="C261" s="2">
        <v>1</v>
      </c>
      <c r="D261" s="2">
        <v>5</v>
      </c>
      <c r="E261" s="2">
        <v>44</v>
      </c>
      <c r="F261" s="2">
        <v>49</v>
      </c>
      <c r="G261" s="2">
        <v>154.25</v>
      </c>
      <c r="H261" s="2" t="s">
        <v>82</v>
      </c>
      <c r="I261" s="2" t="s">
        <v>80</v>
      </c>
      <c r="J261" s="2" t="s">
        <v>45</v>
      </c>
      <c r="K261" s="2" t="s">
        <v>74</v>
      </c>
      <c r="L261" s="2">
        <v>2018</v>
      </c>
      <c r="M261" s="2">
        <v>231</v>
      </c>
      <c r="N261" s="2">
        <v>8</v>
      </c>
      <c r="O261" s="2" t="s">
        <v>51</v>
      </c>
      <c r="P261" s="2" t="s">
        <v>51</v>
      </c>
      <c r="Q261" s="2" t="s">
        <v>54</v>
      </c>
      <c r="R261" s="2" t="s">
        <v>51</v>
      </c>
      <c r="S261" s="2">
        <v>9</v>
      </c>
      <c r="T261" s="2">
        <v>8</v>
      </c>
    </row>
    <row r="262" spans="1:20" x14ac:dyDescent="0.2">
      <c r="A262" s="2">
        <f t="shared" si="2"/>
        <v>261</v>
      </c>
      <c r="B262" s="2" t="s">
        <v>74</v>
      </c>
      <c r="C262" s="2">
        <v>2</v>
      </c>
      <c r="D262" s="2">
        <v>6</v>
      </c>
      <c r="E262" s="2">
        <v>75</v>
      </c>
      <c r="F262" s="2">
        <v>53</v>
      </c>
      <c r="G262" s="2">
        <v>190.19</v>
      </c>
      <c r="H262" s="2" t="s">
        <v>75</v>
      </c>
      <c r="I262" s="2" t="s">
        <v>86</v>
      </c>
      <c r="J262" s="2" t="s">
        <v>45</v>
      </c>
      <c r="K262" s="2" t="s">
        <v>74</v>
      </c>
      <c r="L262" s="2">
        <v>2017</v>
      </c>
      <c r="M262" s="2">
        <v>173</v>
      </c>
      <c r="N262" s="2">
        <v>2</v>
      </c>
      <c r="O262" s="2" t="s">
        <v>51</v>
      </c>
      <c r="P262" s="2" t="s">
        <v>50</v>
      </c>
      <c r="Q262" s="2" t="s">
        <v>52</v>
      </c>
      <c r="R262" s="2" t="s">
        <v>51</v>
      </c>
      <c r="S262" s="2">
        <v>10</v>
      </c>
      <c r="T262" s="2">
        <v>4</v>
      </c>
    </row>
    <row r="263" spans="1:20" x14ac:dyDescent="0.2">
      <c r="A263" s="2">
        <f t="shared" si="2"/>
        <v>262</v>
      </c>
      <c r="B263" s="2" t="s">
        <v>74</v>
      </c>
      <c r="C263" s="2">
        <v>2</v>
      </c>
      <c r="D263" s="2">
        <v>4</v>
      </c>
      <c r="E263" s="2">
        <v>23</v>
      </c>
      <c r="F263" s="2">
        <v>25</v>
      </c>
      <c r="G263" s="2">
        <v>241.67</v>
      </c>
      <c r="H263" s="2" t="s">
        <v>88</v>
      </c>
      <c r="I263" s="2" t="s">
        <v>86</v>
      </c>
      <c r="J263" s="2" t="s">
        <v>45</v>
      </c>
      <c r="K263" s="2" t="s">
        <v>74</v>
      </c>
      <c r="L263" s="2">
        <v>2016</v>
      </c>
      <c r="M263" s="2">
        <v>172</v>
      </c>
      <c r="N263" s="2">
        <v>0</v>
      </c>
      <c r="O263" s="2" t="s">
        <v>51</v>
      </c>
      <c r="P263" s="2" t="s">
        <v>50</v>
      </c>
      <c r="Q263" s="2" t="s">
        <v>54</v>
      </c>
      <c r="R263" s="2" t="s">
        <v>50</v>
      </c>
      <c r="S263" s="2">
        <v>9</v>
      </c>
      <c r="T263" s="2">
        <v>0</v>
      </c>
    </row>
    <row r="264" spans="1:20" x14ac:dyDescent="0.2">
      <c r="A264" s="2">
        <f t="shared" si="2"/>
        <v>263</v>
      </c>
      <c r="B264" s="2" t="s">
        <v>74</v>
      </c>
      <c r="C264" s="2">
        <v>1</v>
      </c>
      <c r="D264" s="2">
        <v>3</v>
      </c>
      <c r="E264" s="2">
        <v>49</v>
      </c>
      <c r="F264" s="2">
        <v>49</v>
      </c>
      <c r="G264" s="2">
        <v>184.59</v>
      </c>
      <c r="H264" s="2" t="s">
        <v>79</v>
      </c>
      <c r="I264" s="2" t="s">
        <v>89</v>
      </c>
      <c r="J264" s="2" t="s">
        <v>45</v>
      </c>
      <c r="K264" s="2" t="s">
        <v>74</v>
      </c>
      <c r="L264" s="2">
        <v>2017</v>
      </c>
      <c r="M264" s="2">
        <v>221</v>
      </c>
      <c r="N264" s="2">
        <v>9</v>
      </c>
      <c r="O264" s="2" t="s">
        <v>51</v>
      </c>
      <c r="P264" s="2" t="s">
        <v>50</v>
      </c>
      <c r="Q264" s="2" t="s">
        <v>55</v>
      </c>
      <c r="R264" s="2" t="s">
        <v>51</v>
      </c>
      <c r="S264" s="2">
        <v>1</v>
      </c>
      <c r="T264" s="2">
        <v>1</v>
      </c>
    </row>
    <row r="265" spans="1:20" x14ac:dyDescent="0.2">
      <c r="A265" s="2">
        <f t="shared" si="2"/>
        <v>264</v>
      </c>
      <c r="B265" s="2" t="s">
        <v>74</v>
      </c>
      <c r="C265" s="2">
        <v>2</v>
      </c>
      <c r="D265" s="2">
        <v>3</v>
      </c>
      <c r="E265" s="2">
        <v>30</v>
      </c>
      <c r="F265" s="2">
        <v>26</v>
      </c>
      <c r="G265" s="2">
        <v>73.31</v>
      </c>
      <c r="H265" s="2" t="s">
        <v>82</v>
      </c>
      <c r="I265" s="2" t="s">
        <v>80</v>
      </c>
      <c r="J265" s="2" t="s">
        <v>45</v>
      </c>
      <c r="K265" s="2" t="s">
        <v>74</v>
      </c>
      <c r="L265" s="2">
        <v>2022</v>
      </c>
      <c r="M265" s="2">
        <v>231</v>
      </c>
      <c r="N265" s="2">
        <v>0</v>
      </c>
      <c r="O265" s="2" t="s">
        <v>50</v>
      </c>
      <c r="P265" s="2" t="s">
        <v>50</v>
      </c>
      <c r="Q265" s="2" t="s">
        <v>52</v>
      </c>
      <c r="R265" s="2" t="s">
        <v>50</v>
      </c>
      <c r="S265" s="2">
        <v>12</v>
      </c>
      <c r="T265" s="2">
        <v>1</v>
      </c>
    </row>
    <row r="266" spans="1:20" x14ac:dyDescent="0.2">
      <c r="A266" s="2">
        <f t="shared" si="2"/>
        <v>265</v>
      </c>
      <c r="B266" s="2" t="s">
        <v>74</v>
      </c>
      <c r="C266" s="2">
        <v>2</v>
      </c>
      <c r="D266" s="2">
        <v>5</v>
      </c>
      <c r="E266" s="2">
        <v>25</v>
      </c>
      <c r="F266" s="2">
        <v>9</v>
      </c>
      <c r="G266" s="2">
        <v>105</v>
      </c>
      <c r="H266" s="2" t="s">
        <v>81</v>
      </c>
      <c r="I266" s="2" t="s">
        <v>93</v>
      </c>
      <c r="J266" s="2" t="s">
        <v>45</v>
      </c>
      <c r="K266" s="2" t="s">
        <v>74</v>
      </c>
      <c r="L266" s="2">
        <v>2018</v>
      </c>
      <c r="M266" s="2">
        <v>227</v>
      </c>
      <c r="N266" s="2">
        <v>10</v>
      </c>
      <c r="O266" s="2" t="s">
        <v>51</v>
      </c>
      <c r="P266" s="2" t="s">
        <v>50</v>
      </c>
      <c r="Q266" s="2" t="s">
        <v>55</v>
      </c>
      <c r="R266" s="2" t="s">
        <v>50</v>
      </c>
      <c r="S266" s="2">
        <v>6</v>
      </c>
      <c r="T266" s="2">
        <v>2</v>
      </c>
    </row>
    <row r="267" spans="1:20" x14ac:dyDescent="0.2">
      <c r="A267" s="2">
        <f t="shared" si="2"/>
        <v>266</v>
      </c>
      <c r="B267" s="2" t="s">
        <v>74</v>
      </c>
      <c r="C267" s="2">
        <v>1</v>
      </c>
      <c r="D267" s="2">
        <v>1</v>
      </c>
      <c r="E267" s="2">
        <v>45</v>
      </c>
      <c r="F267" s="2">
        <v>10</v>
      </c>
      <c r="G267" s="2">
        <v>179.73</v>
      </c>
      <c r="H267" s="2" t="s">
        <v>81</v>
      </c>
      <c r="I267" s="2" t="s">
        <v>89</v>
      </c>
      <c r="J267" s="2" t="s">
        <v>45</v>
      </c>
      <c r="K267" s="2" t="s">
        <v>74</v>
      </c>
      <c r="L267" s="2">
        <v>2023</v>
      </c>
      <c r="M267" s="2">
        <v>194</v>
      </c>
      <c r="N267" s="2">
        <v>8</v>
      </c>
      <c r="O267" s="2" t="s">
        <v>50</v>
      </c>
      <c r="P267" s="2" t="s">
        <v>50</v>
      </c>
      <c r="Q267" s="2" t="s">
        <v>55</v>
      </c>
      <c r="R267" s="2" t="s">
        <v>50</v>
      </c>
      <c r="S267" s="2">
        <v>2</v>
      </c>
      <c r="T267" s="2">
        <v>6</v>
      </c>
    </row>
    <row r="268" spans="1:20" x14ac:dyDescent="0.2">
      <c r="A268" s="2">
        <f t="shared" si="2"/>
        <v>267</v>
      </c>
      <c r="B268" s="2" t="s">
        <v>74</v>
      </c>
      <c r="C268" s="2">
        <v>2</v>
      </c>
      <c r="D268" s="2">
        <v>8</v>
      </c>
      <c r="E268" s="2">
        <v>36</v>
      </c>
      <c r="F268" s="2">
        <v>47</v>
      </c>
      <c r="G268" s="2">
        <v>73.73</v>
      </c>
      <c r="H268" s="2" t="s">
        <v>82</v>
      </c>
      <c r="I268" s="2" t="s">
        <v>90</v>
      </c>
      <c r="J268" s="2" t="s">
        <v>45</v>
      </c>
      <c r="K268" s="2" t="s">
        <v>74</v>
      </c>
      <c r="L268" s="2">
        <v>2017</v>
      </c>
      <c r="M268" s="2">
        <v>209</v>
      </c>
      <c r="N268" s="2">
        <v>5</v>
      </c>
      <c r="O268" s="2" t="s">
        <v>51</v>
      </c>
      <c r="P268" s="2" t="s">
        <v>51</v>
      </c>
      <c r="Q268" s="2" t="s">
        <v>54</v>
      </c>
      <c r="R268" s="2" t="s">
        <v>50</v>
      </c>
      <c r="S268" s="2">
        <v>5</v>
      </c>
      <c r="T268" s="2">
        <v>2</v>
      </c>
    </row>
    <row r="269" spans="1:20" x14ac:dyDescent="0.2">
      <c r="A269" s="2">
        <f t="shared" si="2"/>
        <v>268</v>
      </c>
      <c r="B269" s="2" t="s">
        <v>74</v>
      </c>
      <c r="C269" s="2">
        <v>2</v>
      </c>
      <c r="D269" s="2">
        <v>6</v>
      </c>
      <c r="E269" s="2">
        <v>55</v>
      </c>
      <c r="F269" s="2">
        <v>57</v>
      </c>
      <c r="G269" s="2">
        <v>226.45</v>
      </c>
      <c r="H269" s="2" t="s">
        <v>79</v>
      </c>
      <c r="I269" s="2" t="s">
        <v>76</v>
      </c>
      <c r="J269" s="2" t="s">
        <v>45</v>
      </c>
      <c r="K269" s="2" t="s">
        <v>74</v>
      </c>
      <c r="L269" s="2">
        <v>2022</v>
      </c>
      <c r="M269" s="2">
        <v>211</v>
      </c>
      <c r="N269" s="2">
        <v>2</v>
      </c>
      <c r="O269" s="2" t="s">
        <v>50</v>
      </c>
      <c r="P269" s="2" t="s">
        <v>50</v>
      </c>
      <c r="Q269" s="2" t="s">
        <v>54</v>
      </c>
      <c r="R269" s="2" t="s">
        <v>50</v>
      </c>
      <c r="S269" s="2">
        <v>8</v>
      </c>
      <c r="T269" s="2">
        <v>4</v>
      </c>
    </row>
    <row r="270" spans="1:20" x14ac:dyDescent="0.2">
      <c r="A270" s="2">
        <f t="shared" si="2"/>
        <v>269</v>
      </c>
      <c r="B270" s="2" t="s">
        <v>74</v>
      </c>
      <c r="C270" s="2">
        <v>1</v>
      </c>
      <c r="D270" s="2">
        <v>4</v>
      </c>
      <c r="E270" s="2">
        <v>61</v>
      </c>
      <c r="F270" s="2">
        <v>59</v>
      </c>
      <c r="G270" s="2">
        <v>85.62</v>
      </c>
      <c r="H270" s="2" t="s">
        <v>81</v>
      </c>
      <c r="I270" s="2" t="s">
        <v>84</v>
      </c>
      <c r="J270" s="2" t="s">
        <v>45</v>
      </c>
      <c r="K270" s="2" t="s">
        <v>74</v>
      </c>
      <c r="L270" s="2">
        <v>2025</v>
      </c>
      <c r="M270" s="2">
        <v>197</v>
      </c>
      <c r="N270" s="2">
        <v>2</v>
      </c>
      <c r="O270" s="2" t="s">
        <v>50</v>
      </c>
      <c r="P270" s="2" t="s">
        <v>51</v>
      </c>
      <c r="Q270" s="2" t="s">
        <v>52</v>
      </c>
      <c r="R270" s="2" t="s">
        <v>51</v>
      </c>
      <c r="S270" s="2">
        <v>10</v>
      </c>
      <c r="T270" s="2">
        <v>3</v>
      </c>
    </row>
    <row r="271" spans="1:20" x14ac:dyDescent="0.2">
      <c r="A271" s="2">
        <f t="shared" si="2"/>
        <v>270</v>
      </c>
      <c r="B271" s="2" t="s">
        <v>74</v>
      </c>
      <c r="C271" s="2">
        <v>2</v>
      </c>
      <c r="D271" s="2">
        <v>8</v>
      </c>
      <c r="E271" s="2">
        <v>53</v>
      </c>
      <c r="F271" s="2">
        <v>18</v>
      </c>
      <c r="G271" s="2">
        <v>190.51</v>
      </c>
      <c r="H271" s="2" t="s">
        <v>85</v>
      </c>
      <c r="I271" s="2" t="s">
        <v>76</v>
      </c>
      <c r="J271" s="2" t="s">
        <v>45</v>
      </c>
      <c r="K271" s="2" t="s">
        <v>74</v>
      </c>
      <c r="L271" s="2">
        <v>2017</v>
      </c>
      <c r="M271" s="2">
        <v>207</v>
      </c>
      <c r="N271" s="2">
        <v>8</v>
      </c>
      <c r="O271" s="2" t="s">
        <v>51</v>
      </c>
      <c r="P271" s="2" t="s">
        <v>50</v>
      </c>
      <c r="Q271" s="2" t="s">
        <v>54</v>
      </c>
      <c r="R271" s="2" t="s">
        <v>50</v>
      </c>
      <c r="S271" s="2">
        <v>10</v>
      </c>
      <c r="T271" s="2">
        <v>3</v>
      </c>
    </row>
    <row r="272" spans="1:20" x14ac:dyDescent="0.2">
      <c r="A272" s="2">
        <f t="shared" si="2"/>
        <v>271</v>
      </c>
      <c r="B272" s="2" t="s">
        <v>74</v>
      </c>
      <c r="C272" s="2">
        <v>1</v>
      </c>
      <c r="D272" s="2">
        <v>4</v>
      </c>
      <c r="E272" s="2">
        <v>78</v>
      </c>
      <c r="F272" s="2">
        <v>29</v>
      </c>
      <c r="G272" s="2">
        <v>134.29</v>
      </c>
      <c r="H272" s="2" t="s">
        <v>82</v>
      </c>
      <c r="I272" s="2" t="s">
        <v>89</v>
      </c>
      <c r="J272" s="2" t="s">
        <v>45</v>
      </c>
      <c r="K272" s="2" t="s">
        <v>74</v>
      </c>
      <c r="L272" s="2">
        <v>2022</v>
      </c>
      <c r="M272" s="2">
        <v>216</v>
      </c>
      <c r="N272" s="2">
        <v>1</v>
      </c>
      <c r="O272" s="2" t="s">
        <v>51</v>
      </c>
      <c r="P272" s="2" t="s">
        <v>51</v>
      </c>
      <c r="Q272" s="2" t="s">
        <v>55</v>
      </c>
      <c r="R272" s="2" t="s">
        <v>51</v>
      </c>
      <c r="S272" s="2">
        <v>1</v>
      </c>
      <c r="T272" s="2">
        <v>9</v>
      </c>
    </row>
    <row r="273" spans="1:20" x14ac:dyDescent="0.2">
      <c r="A273" s="2">
        <f t="shared" si="2"/>
        <v>272</v>
      </c>
      <c r="B273" s="2" t="s">
        <v>74</v>
      </c>
      <c r="C273" s="2">
        <v>1</v>
      </c>
      <c r="D273" s="2">
        <v>6</v>
      </c>
      <c r="E273" s="2">
        <v>52</v>
      </c>
      <c r="F273" s="2">
        <v>27</v>
      </c>
      <c r="G273" s="2">
        <v>147.16999999999999</v>
      </c>
      <c r="H273" s="2" t="s">
        <v>82</v>
      </c>
      <c r="I273" s="2" t="s">
        <v>91</v>
      </c>
      <c r="J273" s="2" t="s">
        <v>45</v>
      </c>
      <c r="K273" s="2" t="s">
        <v>74</v>
      </c>
      <c r="L273" s="2">
        <v>2019</v>
      </c>
      <c r="M273" s="2">
        <v>184</v>
      </c>
      <c r="N273" s="2">
        <v>5</v>
      </c>
      <c r="O273" s="2" t="s">
        <v>50</v>
      </c>
      <c r="P273" s="2" t="s">
        <v>51</v>
      </c>
      <c r="Q273" s="2" t="s">
        <v>52</v>
      </c>
      <c r="R273" s="2" t="s">
        <v>50</v>
      </c>
      <c r="S273" s="2">
        <v>3</v>
      </c>
      <c r="T273" s="2">
        <v>3</v>
      </c>
    </row>
    <row r="274" spans="1:20" x14ac:dyDescent="0.2">
      <c r="A274" s="2">
        <f t="shared" si="2"/>
        <v>273</v>
      </c>
      <c r="B274" s="2" t="s">
        <v>74</v>
      </c>
      <c r="C274" s="2">
        <v>2</v>
      </c>
      <c r="D274" s="2">
        <v>5</v>
      </c>
      <c r="E274" s="2">
        <v>29</v>
      </c>
      <c r="F274" s="2">
        <v>10</v>
      </c>
      <c r="G274" s="2">
        <v>138.33000000000001</v>
      </c>
      <c r="H274" s="2" t="s">
        <v>82</v>
      </c>
      <c r="I274" s="2" t="s">
        <v>84</v>
      </c>
      <c r="J274" s="2" t="s">
        <v>45</v>
      </c>
      <c r="K274" s="2" t="s">
        <v>74</v>
      </c>
      <c r="L274" s="2">
        <v>2025</v>
      </c>
      <c r="M274" s="2">
        <v>200</v>
      </c>
      <c r="N274" s="2">
        <v>4</v>
      </c>
      <c r="O274" s="2" t="s">
        <v>51</v>
      </c>
      <c r="P274" s="2" t="s">
        <v>50</v>
      </c>
      <c r="Q274" s="2" t="s">
        <v>54</v>
      </c>
      <c r="R274" s="2" t="s">
        <v>50</v>
      </c>
      <c r="S274" s="2">
        <v>0</v>
      </c>
      <c r="T274" s="2">
        <v>6</v>
      </c>
    </row>
    <row r="275" spans="1:20" x14ac:dyDescent="0.2">
      <c r="A275" s="2">
        <f t="shared" si="2"/>
        <v>274</v>
      </c>
      <c r="B275" s="2" t="s">
        <v>74</v>
      </c>
      <c r="C275" s="2">
        <v>1</v>
      </c>
      <c r="D275" s="2">
        <v>2</v>
      </c>
      <c r="E275" s="2">
        <v>48</v>
      </c>
      <c r="F275" s="2">
        <v>1</v>
      </c>
      <c r="G275" s="2">
        <v>229.11</v>
      </c>
      <c r="H275" s="2" t="s">
        <v>88</v>
      </c>
      <c r="I275" s="2" t="s">
        <v>84</v>
      </c>
      <c r="J275" s="2" t="s">
        <v>45</v>
      </c>
      <c r="K275" s="2" t="s">
        <v>74</v>
      </c>
      <c r="L275" s="2">
        <v>2025</v>
      </c>
      <c r="M275" s="2">
        <v>203</v>
      </c>
      <c r="N275" s="2">
        <v>1</v>
      </c>
      <c r="O275" s="2" t="s">
        <v>51</v>
      </c>
      <c r="P275" s="2" t="s">
        <v>51</v>
      </c>
      <c r="Q275" s="2" t="s">
        <v>55</v>
      </c>
      <c r="R275" s="2" t="s">
        <v>51</v>
      </c>
      <c r="S275" s="2">
        <v>2</v>
      </c>
      <c r="T275" s="2">
        <v>3</v>
      </c>
    </row>
    <row r="276" spans="1:20" x14ac:dyDescent="0.2">
      <c r="A276" s="2">
        <f t="shared" si="2"/>
        <v>275</v>
      </c>
      <c r="B276" s="2" t="s">
        <v>74</v>
      </c>
      <c r="C276" s="2">
        <v>1</v>
      </c>
      <c r="D276" s="2">
        <v>5</v>
      </c>
      <c r="E276" s="2">
        <v>11</v>
      </c>
      <c r="F276" s="2">
        <v>58</v>
      </c>
      <c r="G276" s="2">
        <v>213.49</v>
      </c>
      <c r="H276" s="2" t="s">
        <v>92</v>
      </c>
      <c r="I276" s="2" t="s">
        <v>84</v>
      </c>
      <c r="J276" s="2" t="s">
        <v>45</v>
      </c>
      <c r="K276" s="2" t="s">
        <v>74</v>
      </c>
      <c r="L276" s="2">
        <v>2018</v>
      </c>
      <c r="M276" s="2">
        <v>211</v>
      </c>
      <c r="N276" s="2">
        <v>9</v>
      </c>
      <c r="O276" s="2" t="s">
        <v>51</v>
      </c>
      <c r="P276" s="2" t="s">
        <v>50</v>
      </c>
      <c r="Q276" s="2" t="s">
        <v>54</v>
      </c>
      <c r="R276" s="2" t="s">
        <v>51</v>
      </c>
      <c r="S276" s="2">
        <v>9</v>
      </c>
      <c r="T276" s="2">
        <v>10</v>
      </c>
    </row>
    <row r="277" spans="1:20" x14ac:dyDescent="0.2">
      <c r="A277" s="2">
        <f t="shared" si="2"/>
        <v>276</v>
      </c>
      <c r="B277" s="2" t="s">
        <v>74</v>
      </c>
      <c r="C277" s="2">
        <v>1</v>
      </c>
      <c r="D277" s="2">
        <v>5</v>
      </c>
      <c r="E277" s="2">
        <v>74</v>
      </c>
      <c r="F277" s="2">
        <v>59</v>
      </c>
      <c r="G277" s="2">
        <v>249.75</v>
      </c>
      <c r="H277" s="2" t="s">
        <v>92</v>
      </c>
      <c r="I277" s="2" t="s">
        <v>93</v>
      </c>
      <c r="J277" s="2" t="s">
        <v>45</v>
      </c>
      <c r="K277" s="2" t="s">
        <v>74</v>
      </c>
      <c r="L277" s="2">
        <v>2016</v>
      </c>
      <c r="M277" s="2">
        <v>133</v>
      </c>
      <c r="N277" s="2">
        <v>0</v>
      </c>
      <c r="O277" s="2" t="s">
        <v>50</v>
      </c>
      <c r="P277" s="2" t="s">
        <v>51</v>
      </c>
      <c r="Q277" s="2" t="s">
        <v>54</v>
      </c>
      <c r="R277" s="2" t="s">
        <v>50</v>
      </c>
      <c r="S277" s="2">
        <v>6</v>
      </c>
      <c r="T277" s="2">
        <v>9</v>
      </c>
    </row>
    <row r="278" spans="1:20" x14ac:dyDescent="0.2">
      <c r="A278" s="2">
        <f t="shared" si="2"/>
        <v>277</v>
      </c>
      <c r="B278" s="2" t="s">
        <v>74</v>
      </c>
      <c r="C278" s="2">
        <v>1</v>
      </c>
      <c r="D278" s="2">
        <v>8</v>
      </c>
      <c r="E278" s="2">
        <v>89</v>
      </c>
      <c r="F278" s="2">
        <v>8</v>
      </c>
      <c r="G278" s="2">
        <v>130.47</v>
      </c>
      <c r="H278" s="2" t="s">
        <v>87</v>
      </c>
      <c r="I278" s="2" t="s">
        <v>86</v>
      </c>
      <c r="J278" s="2" t="s">
        <v>45</v>
      </c>
      <c r="K278" s="2" t="s">
        <v>74</v>
      </c>
      <c r="L278" s="2">
        <v>2017</v>
      </c>
      <c r="M278" s="2">
        <v>230</v>
      </c>
      <c r="N278" s="2">
        <v>0</v>
      </c>
      <c r="O278" s="2" t="s">
        <v>51</v>
      </c>
      <c r="P278" s="2" t="s">
        <v>50</v>
      </c>
      <c r="Q278" s="2" t="s">
        <v>52</v>
      </c>
      <c r="R278" s="2" t="s">
        <v>51</v>
      </c>
      <c r="S278" s="2">
        <v>2</v>
      </c>
      <c r="T278" s="2">
        <v>4</v>
      </c>
    </row>
    <row r="279" spans="1:20" x14ac:dyDescent="0.2">
      <c r="A279" s="2">
        <f t="shared" si="2"/>
        <v>278</v>
      </c>
      <c r="B279" s="2" t="s">
        <v>74</v>
      </c>
      <c r="C279" s="2">
        <v>2</v>
      </c>
      <c r="D279" s="2">
        <v>10</v>
      </c>
      <c r="E279" s="2">
        <v>2</v>
      </c>
      <c r="F279" s="2">
        <v>39</v>
      </c>
      <c r="G279" s="2">
        <v>109.13</v>
      </c>
      <c r="H279" s="2" t="s">
        <v>83</v>
      </c>
      <c r="I279" s="2" t="s">
        <v>89</v>
      </c>
      <c r="J279" s="2" t="s">
        <v>45</v>
      </c>
      <c r="K279" s="2" t="s">
        <v>74</v>
      </c>
      <c r="L279" s="2">
        <v>2016</v>
      </c>
      <c r="M279" s="2">
        <v>165</v>
      </c>
      <c r="N279" s="2">
        <v>3</v>
      </c>
      <c r="O279" s="2" t="s">
        <v>50</v>
      </c>
      <c r="P279" s="2" t="s">
        <v>50</v>
      </c>
      <c r="Q279" s="2" t="s">
        <v>54</v>
      </c>
      <c r="R279" s="2" t="s">
        <v>50</v>
      </c>
      <c r="S279" s="2">
        <v>12</v>
      </c>
      <c r="T279" s="2">
        <v>1</v>
      </c>
    </row>
    <row r="280" spans="1:20" x14ac:dyDescent="0.2">
      <c r="A280" s="2">
        <f t="shared" si="2"/>
        <v>279</v>
      </c>
      <c r="B280" s="2" t="s">
        <v>74</v>
      </c>
      <c r="C280" s="2">
        <v>1</v>
      </c>
      <c r="D280" s="2">
        <v>6</v>
      </c>
      <c r="E280" s="2">
        <v>52</v>
      </c>
      <c r="F280" s="2">
        <v>26</v>
      </c>
      <c r="G280" s="2">
        <v>178.76</v>
      </c>
      <c r="H280" s="2" t="s">
        <v>82</v>
      </c>
      <c r="I280" s="2" t="s">
        <v>76</v>
      </c>
      <c r="J280" s="2" t="s">
        <v>45</v>
      </c>
      <c r="K280" s="2" t="s">
        <v>74</v>
      </c>
      <c r="L280" s="2">
        <v>2020</v>
      </c>
      <c r="M280" s="2">
        <v>121</v>
      </c>
      <c r="N280" s="2">
        <v>8</v>
      </c>
      <c r="O280" s="2" t="s">
        <v>50</v>
      </c>
      <c r="P280" s="2" t="s">
        <v>51</v>
      </c>
      <c r="Q280" s="2" t="s">
        <v>52</v>
      </c>
      <c r="R280" s="2" t="s">
        <v>50</v>
      </c>
      <c r="S280" s="2">
        <v>6</v>
      </c>
      <c r="T280" s="2">
        <v>8</v>
      </c>
    </row>
    <row r="281" spans="1:20" x14ac:dyDescent="0.2">
      <c r="A281" s="2">
        <f t="shared" si="2"/>
        <v>280</v>
      </c>
      <c r="B281" s="2" t="s">
        <v>74</v>
      </c>
      <c r="C281" s="2">
        <v>2</v>
      </c>
      <c r="D281" s="2">
        <v>11</v>
      </c>
      <c r="E281" s="2">
        <v>14</v>
      </c>
      <c r="F281" s="2">
        <v>4</v>
      </c>
      <c r="G281" s="2">
        <v>223.46</v>
      </c>
      <c r="H281" s="2" t="s">
        <v>82</v>
      </c>
      <c r="I281" s="2" t="s">
        <v>90</v>
      </c>
      <c r="J281" s="2" t="s">
        <v>45</v>
      </c>
      <c r="K281" s="2" t="s">
        <v>74</v>
      </c>
      <c r="L281" s="2">
        <v>2022</v>
      </c>
      <c r="M281" s="2">
        <v>124</v>
      </c>
      <c r="N281" s="2">
        <v>2</v>
      </c>
      <c r="O281" s="2" t="s">
        <v>51</v>
      </c>
      <c r="P281" s="2" t="s">
        <v>51</v>
      </c>
      <c r="Q281" s="2" t="s">
        <v>54</v>
      </c>
      <c r="R281" s="2" t="s">
        <v>51</v>
      </c>
      <c r="S281" s="2">
        <v>7</v>
      </c>
      <c r="T281" s="2">
        <v>9</v>
      </c>
    </row>
    <row r="282" spans="1:20" x14ac:dyDescent="0.2">
      <c r="A282" s="2">
        <f t="shared" si="2"/>
        <v>281</v>
      </c>
      <c r="B282" s="2" t="s">
        <v>74</v>
      </c>
      <c r="C282" s="2">
        <v>2</v>
      </c>
      <c r="D282" s="2">
        <v>8</v>
      </c>
      <c r="E282" s="2">
        <v>1</v>
      </c>
      <c r="F282" s="2">
        <v>59</v>
      </c>
      <c r="G282" s="2">
        <v>174.97</v>
      </c>
      <c r="H282" s="2" t="s">
        <v>82</v>
      </c>
      <c r="I282" s="2" t="s">
        <v>90</v>
      </c>
      <c r="J282" s="2" t="s">
        <v>45</v>
      </c>
      <c r="K282" s="2" t="s">
        <v>74</v>
      </c>
      <c r="L282" s="2">
        <v>2018</v>
      </c>
      <c r="M282" s="2">
        <v>185</v>
      </c>
      <c r="N282" s="2">
        <v>8</v>
      </c>
      <c r="O282" s="2" t="s">
        <v>50</v>
      </c>
      <c r="P282" s="2" t="s">
        <v>51</v>
      </c>
      <c r="Q282" s="2" t="s">
        <v>54</v>
      </c>
      <c r="R282" s="2" t="s">
        <v>51</v>
      </c>
      <c r="S282" s="2">
        <v>2</v>
      </c>
      <c r="T282" s="2">
        <v>7</v>
      </c>
    </row>
    <row r="283" spans="1:20" x14ac:dyDescent="0.2">
      <c r="A283" s="2">
        <f t="shared" si="2"/>
        <v>282</v>
      </c>
      <c r="B283" s="2" t="s">
        <v>74</v>
      </c>
      <c r="C283" s="2">
        <v>1</v>
      </c>
      <c r="D283" s="2">
        <v>10</v>
      </c>
      <c r="E283" s="2">
        <v>45</v>
      </c>
      <c r="F283" s="2">
        <v>53</v>
      </c>
      <c r="G283" s="2">
        <v>212.53</v>
      </c>
      <c r="H283" s="2" t="s">
        <v>83</v>
      </c>
      <c r="I283" s="2" t="s">
        <v>76</v>
      </c>
      <c r="J283" s="2" t="s">
        <v>45</v>
      </c>
      <c r="K283" s="2" t="s">
        <v>74</v>
      </c>
      <c r="L283" s="2">
        <v>2018</v>
      </c>
      <c r="M283" s="2">
        <v>147</v>
      </c>
      <c r="N283" s="2">
        <v>7</v>
      </c>
      <c r="O283" s="2" t="s">
        <v>51</v>
      </c>
      <c r="P283" s="2" t="s">
        <v>51</v>
      </c>
      <c r="Q283" s="2" t="s">
        <v>55</v>
      </c>
      <c r="R283" s="2" t="s">
        <v>50</v>
      </c>
      <c r="S283" s="2">
        <v>1</v>
      </c>
      <c r="T283" s="2">
        <v>0</v>
      </c>
    </row>
    <row r="284" spans="1:20" x14ac:dyDescent="0.2">
      <c r="A284" s="2">
        <f t="shared" si="2"/>
        <v>283</v>
      </c>
      <c r="B284" s="2" t="s">
        <v>74</v>
      </c>
      <c r="C284" s="2">
        <v>2</v>
      </c>
      <c r="D284" s="2">
        <v>10</v>
      </c>
      <c r="E284" s="2">
        <v>11</v>
      </c>
      <c r="F284" s="2">
        <v>58</v>
      </c>
      <c r="G284" s="2">
        <v>246.74</v>
      </c>
      <c r="H284" s="2" t="s">
        <v>82</v>
      </c>
      <c r="I284" s="2" t="s">
        <v>86</v>
      </c>
      <c r="J284" s="2" t="s">
        <v>45</v>
      </c>
      <c r="K284" s="2" t="s">
        <v>74</v>
      </c>
      <c r="L284" s="2">
        <v>2021</v>
      </c>
      <c r="M284" s="2">
        <v>194</v>
      </c>
      <c r="N284" s="2">
        <v>1</v>
      </c>
      <c r="O284" s="2" t="s">
        <v>50</v>
      </c>
      <c r="P284" s="2" t="s">
        <v>50</v>
      </c>
      <c r="Q284" s="2" t="s">
        <v>55</v>
      </c>
      <c r="R284" s="2" t="s">
        <v>51</v>
      </c>
      <c r="S284" s="2">
        <v>10</v>
      </c>
      <c r="T284" s="2">
        <v>3</v>
      </c>
    </row>
    <row r="285" spans="1:20" x14ac:dyDescent="0.2">
      <c r="A285" s="2">
        <f t="shared" si="2"/>
        <v>284</v>
      </c>
      <c r="B285" s="2" t="s">
        <v>74</v>
      </c>
      <c r="C285" s="2">
        <v>1</v>
      </c>
      <c r="D285" s="2">
        <v>5</v>
      </c>
      <c r="E285" s="2">
        <v>60</v>
      </c>
      <c r="F285" s="2">
        <v>57</v>
      </c>
      <c r="G285" s="2">
        <v>76.17</v>
      </c>
      <c r="H285" s="2" t="s">
        <v>81</v>
      </c>
      <c r="I285" s="2" t="s">
        <v>91</v>
      </c>
      <c r="J285" s="2" t="s">
        <v>45</v>
      </c>
      <c r="K285" s="2" t="s">
        <v>74</v>
      </c>
      <c r="L285" s="2">
        <v>2019</v>
      </c>
      <c r="M285" s="2">
        <v>160</v>
      </c>
      <c r="N285" s="2">
        <v>4</v>
      </c>
      <c r="O285" s="2" t="s">
        <v>51</v>
      </c>
      <c r="P285" s="2" t="s">
        <v>50</v>
      </c>
      <c r="Q285" s="2" t="s">
        <v>54</v>
      </c>
      <c r="R285" s="2" t="s">
        <v>50</v>
      </c>
      <c r="S285" s="2">
        <v>3</v>
      </c>
      <c r="T285" s="2">
        <v>4</v>
      </c>
    </row>
    <row r="286" spans="1:20" x14ac:dyDescent="0.2">
      <c r="A286" s="2">
        <f t="shared" si="2"/>
        <v>285</v>
      </c>
      <c r="B286" s="2" t="s">
        <v>74</v>
      </c>
      <c r="C286" s="2">
        <v>1</v>
      </c>
      <c r="D286" s="2">
        <v>3</v>
      </c>
      <c r="E286" s="2">
        <v>38</v>
      </c>
      <c r="F286" s="2">
        <v>56</v>
      </c>
      <c r="G286" s="2">
        <v>139.71</v>
      </c>
      <c r="H286" s="2" t="s">
        <v>82</v>
      </c>
      <c r="I286" s="2" t="s">
        <v>91</v>
      </c>
      <c r="J286" s="2" t="s">
        <v>45</v>
      </c>
      <c r="K286" s="2" t="s">
        <v>74</v>
      </c>
      <c r="L286" s="2">
        <v>2018</v>
      </c>
      <c r="M286" s="2">
        <v>159</v>
      </c>
      <c r="N286" s="2">
        <v>7</v>
      </c>
      <c r="O286" s="2" t="s">
        <v>51</v>
      </c>
      <c r="P286" s="2" t="s">
        <v>50</v>
      </c>
      <c r="Q286" s="2" t="s">
        <v>52</v>
      </c>
      <c r="R286" s="2" t="s">
        <v>51</v>
      </c>
      <c r="S286" s="2">
        <v>11</v>
      </c>
      <c r="T286" s="2">
        <v>9</v>
      </c>
    </row>
    <row r="287" spans="1:20" x14ac:dyDescent="0.2">
      <c r="A287" s="2">
        <f t="shared" si="2"/>
        <v>286</v>
      </c>
      <c r="B287" s="2" t="s">
        <v>74</v>
      </c>
      <c r="C287" s="2">
        <v>1</v>
      </c>
      <c r="D287" s="2">
        <v>11</v>
      </c>
      <c r="E287" s="2">
        <v>50</v>
      </c>
      <c r="F287" s="2">
        <v>41</v>
      </c>
      <c r="G287" s="2">
        <v>63.96</v>
      </c>
      <c r="H287" s="2" t="s">
        <v>79</v>
      </c>
      <c r="I287" s="2" t="s">
        <v>91</v>
      </c>
      <c r="J287" s="2" t="s">
        <v>45</v>
      </c>
      <c r="K287" s="2" t="s">
        <v>74</v>
      </c>
      <c r="L287" s="2">
        <v>2022</v>
      </c>
      <c r="M287" s="2">
        <v>199</v>
      </c>
      <c r="N287" s="2">
        <v>2</v>
      </c>
      <c r="O287" s="2" t="s">
        <v>51</v>
      </c>
      <c r="P287" s="2" t="s">
        <v>50</v>
      </c>
      <c r="Q287" s="2" t="s">
        <v>52</v>
      </c>
      <c r="R287" s="2" t="s">
        <v>51</v>
      </c>
      <c r="S287" s="2">
        <v>11</v>
      </c>
      <c r="T287" s="2">
        <v>8</v>
      </c>
    </row>
    <row r="288" spans="1:20" x14ac:dyDescent="0.2">
      <c r="A288" s="2">
        <f t="shared" si="2"/>
        <v>287</v>
      </c>
      <c r="B288" s="2" t="s">
        <v>74</v>
      </c>
      <c r="C288" s="2">
        <v>1</v>
      </c>
      <c r="D288" s="2">
        <v>5</v>
      </c>
      <c r="E288" s="2">
        <v>12</v>
      </c>
      <c r="F288" s="2">
        <v>38</v>
      </c>
      <c r="G288" s="2">
        <v>154.19</v>
      </c>
      <c r="H288" s="2" t="s">
        <v>92</v>
      </c>
      <c r="I288" s="2" t="s">
        <v>78</v>
      </c>
      <c r="J288" s="2" t="s">
        <v>45</v>
      </c>
      <c r="K288" s="2" t="s">
        <v>74</v>
      </c>
      <c r="L288" s="2">
        <v>2015</v>
      </c>
      <c r="M288" s="2">
        <v>174</v>
      </c>
      <c r="N288" s="2">
        <v>6</v>
      </c>
      <c r="O288" s="2" t="s">
        <v>51</v>
      </c>
      <c r="P288" s="2" t="s">
        <v>51</v>
      </c>
      <c r="Q288" s="2" t="s">
        <v>55</v>
      </c>
      <c r="R288" s="2" t="s">
        <v>50</v>
      </c>
      <c r="S288" s="2">
        <v>6</v>
      </c>
      <c r="T288" s="2">
        <v>1</v>
      </c>
    </row>
    <row r="289" spans="1:20" x14ac:dyDescent="0.2">
      <c r="A289" s="2">
        <f t="shared" ref="A289:A352" si="3">A288+1</f>
        <v>288</v>
      </c>
      <c r="B289" s="2" t="s">
        <v>74</v>
      </c>
      <c r="C289" s="2">
        <v>1</v>
      </c>
      <c r="D289" s="2">
        <v>5</v>
      </c>
      <c r="E289" s="2">
        <v>50</v>
      </c>
      <c r="F289" s="2">
        <v>18</v>
      </c>
      <c r="G289" s="2">
        <v>170.55</v>
      </c>
      <c r="H289" s="2" t="s">
        <v>79</v>
      </c>
      <c r="I289" s="2" t="s">
        <v>93</v>
      </c>
      <c r="J289" s="2" t="s">
        <v>45</v>
      </c>
      <c r="K289" s="2" t="s">
        <v>74</v>
      </c>
      <c r="L289" s="2">
        <v>2021</v>
      </c>
      <c r="M289" s="2">
        <v>205</v>
      </c>
      <c r="N289" s="2">
        <v>0</v>
      </c>
      <c r="O289" s="2" t="s">
        <v>50</v>
      </c>
      <c r="P289" s="2" t="s">
        <v>50</v>
      </c>
      <c r="Q289" s="2" t="s">
        <v>55</v>
      </c>
      <c r="R289" s="2" t="s">
        <v>50</v>
      </c>
      <c r="S289" s="2">
        <v>2</v>
      </c>
      <c r="T289" s="2">
        <v>9</v>
      </c>
    </row>
    <row r="290" spans="1:20" x14ac:dyDescent="0.2">
      <c r="A290" s="2">
        <f t="shared" si="3"/>
        <v>289</v>
      </c>
      <c r="B290" s="2" t="s">
        <v>74</v>
      </c>
      <c r="C290" s="2">
        <v>1</v>
      </c>
      <c r="D290" s="2">
        <v>6</v>
      </c>
      <c r="E290" s="2">
        <v>54</v>
      </c>
      <c r="F290" s="2">
        <v>3</v>
      </c>
      <c r="G290" s="2">
        <v>241.77</v>
      </c>
      <c r="H290" s="2" t="s">
        <v>77</v>
      </c>
      <c r="I290" s="2" t="s">
        <v>76</v>
      </c>
      <c r="J290" s="2" t="s">
        <v>45</v>
      </c>
      <c r="K290" s="2" t="s">
        <v>74</v>
      </c>
      <c r="L290" s="2">
        <v>2018</v>
      </c>
      <c r="M290" s="2">
        <v>145</v>
      </c>
      <c r="N290" s="2">
        <v>2</v>
      </c>
      <c r="O290" s="2" t="s">
        <v>51</v>
      </c>
      <c r="P290" s="2" t="s">
        <v>50</v>
      </c>
      <c r="Q290" s="2" t="s">
        <v>55</v>
      </c>
      <c r="R290" s="2" t="s">
        <v>50</v>
      </c>
      <c r="S290" s="2">
        <v>12</v>
      </c>
      <c r="T290" s="2">
        <v>6</v>
      </c>
    </row>
    <row r="291" spans="1:20" x14ac:dyDescent="0.2">
      <c r="A291" s="2">
        <f t="shared" si="3"/>
        <v>290</v>
      </c>
      <c r="B291" s="2" t="s">
        <v>74</v>
      </c>
      <c r="C291" s="2">
        <v>2</v>
      </c>
      <c r="D291" s="2">
        <v>3</v>
      </c>
      <c r="E291" s="2">
        <v>39</v>
      </c>
      <c r="F291" s="2">
        <v>58</v>
      </c>
      <c r="G291" s="2">
        <v>68.599999999999994</v>
      </c>
      <c r="H291" s="2" t="s">
        <v>77</v>
      </c>
      <c r="I291" s="2" t="s">
        <v>78</v>
      </c>
      <c r="J291" s="2" t="s">
        <v>45</v>
      </c>
      <c r="K291" s="2" t="s">
        <v>74</v>
      </c>
      <c r="L291" s="2">
        <v>2021</v>
      </c>
      <c r="M291" s="2">
        <v>193</v>
      </c>
      <c r="N291" s="2">
        <v>1</v>
      </c>
      <c r="O291" s="2" t="s">
        <v>50</v>
      </c>
      <c r="P291" s="2" t="s">
        <v>50</v>
      </c>
      <c r="Q291" s="2" t="s">
        <v>52</v>
      </c>
      <c r="R291" s="2" t="s">
        <v>51</v>
      </c>
      <c r="S291" s="2">
        <v>12</v>
      </c>
      <c r="T291" s="2">
        <v>5</v>
      </c>
    </row>
    <row r="292" spans="1:20" x14ac:dyDescent="0.2">
      <c r="A292" s="2">
        <f t="shared" si="3"/>
        <v>291</v>
      </c>
      <c r="B292" s="2" t="s">
        <v>74</v>
      </c>
      <c r="C292" s="2">
        <v>2</v>
      </c>
      <c r="D292" s="2">
        <v>2</v>
      </c>
      <c r="E292" s="2">
        <v>34</v>
      </c>
      <c r="F292" s="2">
        <v>32</v>
      </c>
      <c r="G292" s="2">
        <v>226.5</v>
      </c>
      <c r="H292" s="2" t="s">
        <v>85</v>
      </c>
      <c r="I292" s="2" t="s">
        <v>86</v>
      </c>
      <c r="J292" s="2" t="s">
        <v>45</v>
      </c>
      <c r="K292" s="2" t="s">
        <v>74</v>
      </c>
      <c r="L292" s="2">
        <v>2021</v>
      </c>
      <c r="M292" s="2">
        <v>235</v>
      </c>
      <c r="N292" s="2">
        <v>10</v>
      </c>
      <c r="O292" s="2" t="s">
        <v>50</v>
      </c>
      <c r="P292" s="2" t="s">
        <v>50</v>
      </c>
      <c r="Q292" s="2" t="s">
        <v>54</v>
      </c>
      <c r="R292" s="2" t="s">
        <v>50</v>
      </c>
      <c r="S292" s="2">
        <v>0</v>
      </c>
      <c r="T292" s="2">
        <v>1</v>
      </c>
    </row>
    <row r="293" spans="1:20" x14ac:dyDescent="0.2">
      <c r="A293" s="2">
        <f t="shared" si="3"/>
        <v>292</v>
      </c>
      <c r="B293" s="2" t="s">
        <v>74</v>
      </c>
      <c r="C293" s="2">
        <v>1</v>
      </c>
      <c r="D293" s="2">
        <v>5</v>
      </c>
      <c r="E293" s="2">
        <v>13</v>
      </c>
      <c r="F293" s="2">
        <v>39</v>
      </c>
      <c r="G293" s="2">
        <v>110.57</v>
      </c>
      <c r="H293" s="2" t="s">
        <v>77</v>
      </c>
      <c r="I293" s="2" t="s">
        <v>89</v>
      </c>
      <c r="J293" s="2" t="s">
        <v>45</v>
      </c>
      <c r="K293" s="2" t="s">
        <v>74</v>
      </c>
      <c r="L293" s="2">
        <v>2019</v>
      </c>
      <c r="M293" s="2">
        <v>144</v>
      </c>
      <c r="N293" s="2">
        <v>6</v>
      </c>
      <c r="O293" s="2" t="s">
        <v>50</v>
      </c>
      <c r="P293" s="2" t="s">
        <v>51</v>
      </c>
      <c r="Q293" s="2" t="s">
        <v>52</v>
      </c>
      <c r="R293" s="2" t="s">
        <v>51</v>
      </c>
      <c r="S293" s="2">
        <v>10</v>
      </c>
      <c r="T293" s="2">
        <v>2</v>
      </c>
    </row>
    <row r="294" spans="1:20" x14ac:dyDescent="0.2">
      <c r="A294" s="2">
        <f t="shared" si="3"/>
        <v>293</v>
      </c>
      <c r="B294" s="2" t="s">
        <v>74</v>
      </c>
      <c r="C294" s="2">
        <v>1</v>
      </c>
      <c r="D294" s="2">
        <v>5</v>
      </c>
      <c r="E294" s="2">
        <v>24</v>
      </c>
      <c r="F294" s="2">
        <v>8</v>
      </c>
      <c r="G294" s="2">
        <v>150.34</v>
      </c>
      <c r="H294" s="2" t="s">
        <v>79</v>
      </c>
      <c r="I294" s="2" t="s">
        <v>89</v>
      </c>
      <c r="J294" s="2" t="s">
        <v>45</v>
      </c>
      <c r="K294" s="2" t="s">
        <v>74</v>
      </c>
      <c r="L294" s="2">
        <v>2016</v>
      </c>
      <c r="M294" s="2">
        <v>150</v>
      </c>
      <c r="N294" s="2">
        <v>2</v>
      </c>
      <c r="O294" s="2" t="s">
        <v>51</v>
      </c>
      <c r="P294" s="2" t="s">
        <v>51</v>
      </c>
      <c r="Q294" s="2" t="s">
        <v>52</v>
      </c>
      <c r="R294" s="2" t="s">
        <v>50</v>
      </c>
      <c r="S294" s="2">
        <v>10</v>
      </c>
      <c r="T294" s="2">
        <v>2</v>
      </c>
    </row>
    <row r="295" spans="1:20" x14ac:dyDescent="0.2">
      <c r="A295" s="2">
        <f t="shared" si="3"/>
        <v>294</v>
      </c>
      <c r="B295" s="2" t="s">
        <v>74</v>
      </c>
      <c r="C295" s="2">
        <v>2</v>
      </c>
      <c r="D295" s="2">
        <v>9</v>
      </c>
      <c r="E295" s="2">
        <v>35</v>
      </c>
      <c r="F295" s="2">
        <v>39</v>
      </c>
      <c r="G295" s="2">
        <v>169.55</v>
      </c>
      <c r="H295" s="2" t="s">
        <v>75</v>
      </c>
      <c r="I295" s="2" t="s">
        <v>90</v>
      </c>
      <c r="J295" s="2" t="s">
        <v>45</v>
      </c>
      <c r="K295" s="2" t="s">
        <v>74</v>
      </c>
      <c r="L295" s="2">
        <v>2017</v>
      </c>
      <c r="M295" s="2">
        <v>137</v>
      </c>
      <c r="N295" s="2">
        <v>5</v>
      </c>
      <c r="O295" s="2" t="s">
        <v>51</v>
      </c>
      <c r="P295" s="2" t="s">
        <v>50</v>
      </c>
      <c r="Q295" s="2" t="s">
        <v>55</v>
      </c>
      <c r="R295" s="2" t="s">
        <v>51</v>
      </c>
      <c r="S295" s="2">
        <v>7</v>
      </c>
      <c r="T295" s="2">
        <v>7</v>
      </c>
    </row>
    <row r="296" spans="1:20" x14ac:dyDescent="0.2">
      <c r="A296" s="2">
        <f t="shared" si="3"/>
        <v>295</v>
      </c>
      <c r="B296" s="2" t="s">
        <v>74</v>
      </c>
      <c r="C296" s="2">
        <v>1</v>
      </c>
      <c r="D296" s="2">
        <v>2</v>
      </c>
      <c r="E296" s="2">
        <v>48</v>
      </c>
      <c r="F296" s="2">
        <v>24</v>
      </c>
      <c r="G296" s="2">
        <v>126.19</v>
      </c>
      <c r="H296" s="2" t="s">
        <v>75</v>
      </c>
      <c r="I296" s="2" t="s">
        <v>86</v>
      </c>
      <c r="J296" s="2" t="s">
        <v>45</v>
      </c>
      <c r="K296" s="2" t="s">
        <v>74</v>
      </c>
      <c r="L296" s="2">
        <v>2024</v>
      </c>
      <c r="M296" s="2">
        <v>122</v>
      </c>
      <c r="N296" s="2">
        <v>5</v>
      </c>
      <c r="O296" s="2" t="s">
        <v>50</v>
      </c>
      <c r="P296" s="2" t="s">
        <v>50</v>
      </c>
      <c r="Q296" s="2" t="s">
        <v>52</v>
      </c>
      <c r="R296" s="2" t="s">
        <v>50</v>
      </c>
      <c r="S296" s="2">
        <v>9</v>
      </c>
      <c r="T296" s="2">
        <v>7</v>
      </c>
    </row>
    <row r="297" spans="1:20" x14ac:dyDescent="0.2">
      <c r="A297" s="2">
        <f t="shared" si="3"/>
        <v>296</v>
      </c>
      <c r="B297" s="2" t="s">
        <v>74</v>
      </c>
      <c r="C297" s="2">
        <v>2</v>
      </c>
      <c r="D297" s="2">
        <v>7</v>
      </c>
      <c r="E297" s="2">
        <v>52</v>
      </c>
      <c r="F297" s="2">
        <v>59</v>
      </c>
      <c r="G297" s="2">
        <v>152.88999999999999</v>
      </c>
      <c r="H297" s="2" t="s">
        <v>92</v>
      </c>
      <c r="I297" s="2" t="s">
        <v>76</v>
      </c>
      <c r="J297" s="2" t="s">
        <v>45</v>
      </c>
      <c r="K297" s="2" t="s">
        <v>74</v>
      </c>
      <c r="L297" s="2">
        <v>2015</v>
      </c>
      <c r="M297" s="2">
        <v>215</v>
      </c>
      <c r="N297" s="2">
        <v>7</v>
      </c>
      <c r="O297" s="2" t="s">
        <v>50</v>
      </c>
      <c r="P297" s="2" t="s">
        <v>50</v>
      </c>
      <c r="Q297" s="2" t="s">
        <v>54</v>
      </c>
      <c r="R297" s="2" t="s">
        <v>51</v>
      </c>
      <c r="S297" s="2">
        <v>10</v>
      </c>
      <c r="T297" s="2">
        <v>0</v>
      </c>
    </row>
    <row r="298" spans="1:20" x14ac:dyDescent="0.2">
      <c r="A298" s="2">
        <f t="shared" si="3"/>
        <v>297</v>
      </c>
      <c r="B298" s="2" t="s">
        <v>74</v>
      </c>
      <c r="C298" s="2">
        <v>1</v>
      </c>
      <c r="D298" s="2">
        <v>8</v>
      </c>
      <c r="E298" s="2">
        <v>1</v>
      </c>
      <c r="F298" s="2">
        <v>34</v>
      </c>
      <c r="G298" s="2">
        <v>136.74</v>
      </c>
      <c r="H298" s="2" t="s">
        <v>82</v>
      </c>
      <c r="I298" s="2" t="s">
        <v>78</v>
      </c>
      <c r="J298" s="2" t="s">
        <v>45</v>
      </c>
      <c r="K298" s="2" t="s">
        <v>74</v>
      </c>
      <c r="L298" s="2">
        <v>2020</v>
      </c>
      <c r="M298" s="2">
        <v>206</v>
      </c>
      <c r="N298" s="2">
        <v>9</v>
      </c>
      <c r="O298" s="2" t="s">
        <v>51</v>
      </c>
      <c r="P298" s="2" t="s">
        <v>50</v>
      </c>
      <c r="Q298" s="2" t="s">
        <v>54</v>
      </c>
      <c r="R298" s="2" t="s">
        <v>51</v>
      </c>
      <c r="S298" s="2">
        <v>10</v>
      </c>
      <c r="T298" s="2">
        <v>7</v>
      </c>
    </row>
    <row r="299" spans="1:20" x14ac:dyDescent="0.2">
      <c r="A299" s="2">
        <f t="shared" si="3"/>
        <v>298</v>
      </c>
      <c r="B299" s="2" t="s">
        <v>74</v>
      </c>
      <c r="C299" s="2">
        <v>2</v>
      </c>
      <c r="D299" s="2">
        <v>10</v>
      </c>
      <c r="E299" s="2">
        <v>15</v>
      </c>
      <c r="F299" s="2">
        <v>41</v>
      </c>
      <c r="G299" s="2">
        <v>189.41</v>
      </c>
      <c r="H299" s="2" t="s">
        <v>83</v>
      </c>
      <c r="I299" s="2" t="s">
        <v>90</v>
      </c>
      <c r="J299" s="2" t="s">
        <v>45</v>
      </c>
      <c r="K299" s="2" t="s">
        <v>74</v>
      </c>
      <c r="L299" s="2">
        <v>2018</v>
      </c>
      <c r="M299" s="2">
        <v>154</v>
      </c>
      <c r="N299" s="2">
        <v>4</v>
      </c>
      <c r="O299" s="2" t="s">
        <v>51</v>
      </c>
      <c r="P299" s="2" t="s">
        <v>51</v>
      </c>
      <c r="Q299" s="2" t="s">
        <v>54</v>
      </c>
      <c r="R299" s="2" t="s">
        <v>50</v>
      </c>
      <c r="S299" s="2">
        <v>5</v>
      </c>
      <c r="T299" s="2">
        <v>10</v>
      </c>
    </row>
    <row r="300" spans="1:20" x14ac:dyDescent="0.2">
      <c r="A300" s="2">
        <f t="shared" si="3"/>
        <v>299</v>
      </c>
      <c r="B300" s="2" t="s">
        <v>74</v>
      </c>
      <c r="C300" s="2">
        <v>2</v>
      </c>
      <c r="D300" s="2">
        <v>6</v>
      </c>
      <c r="E300" s="2">
        <v>14</v>
      </c>
      <c r="F300" s="2">
        <v>40</v>
      </c>
      <c r="G300" s="2">
        <v>87.39</v>
      </c>
      <c r="H300" s="2" t="s">
        <v>77</v>
      </c>
      <c r="I300" s="2" t="s">
        <v>93</v>
      </c>
      <c r="J300" s="2" t="s">
        <v>45</v>
      </c>
      <c r="K300" s="2" t="s">
        <v>74</v>
      </c>
      <c r="L300" s="2">
        <v>2018</v>
      </c>
      <c r="M300" s="2">
        <v>179</v>
      </c>
      <c r="N300" s="2">
        <v>6</v>
      </c>
      <c r="O300" s="2" t="s">
        <v>50</v>
      </c>
      <c r="P300" s="2" t="s">
        <v>50</v>
      </c>
      <c r="Q300" s="2" t="s">
        <v>52</v>
      </c>
      <c r="R300" s="2" t="s">
        <v>51</v>
      </c>
      <c r="S300" s="2">
        <v>5</v>
      </c>
      <c r="T300" s="2">
        <v>1</v>
      </c>
    </row>
    <row r="301" spans="1:20" x14ac:dyDescent="0.2">
      <c r="A301" s="2">
        <f t="shared" si="3"/>
        <v>300</v>
      </c>
      <c r="B301" s="2" t="s">
        <v>74</v>
      </c>
      <c r="C301" s="2">
        <v>2</v>
      </c>
      <c r="D301" s="2">
        <v>9</v>
      </c>
      <c r="E301" s="2">
        <v>2</v>
      </c>
      <c r="F301" s="2">
        <v>16</v>
      </c>
      <c r="G301" s="2">
        <v>147.97999999999999</v>
      </c>
      <c r="H301" s="2" t="s">
        <v>83</v>
      </c>
      <c r="I301" s="2" t="s">
        <v>76</v>
      </c>
      <c r="J301" s="2" t="s">
        <v>45</v>
      </c>
      <c r="K301" s="2" t="s">
        <v>74</v>
      </c>
      <c r="L301" s="2">
        <v>2019</v>
      </c>
      <c r="M301" s="2">
        <v>224</v>
      </c>
      <c r="N301" s="2">
        <v>10</v>
      </c>
      <c r="O301" s="2" t="s">
        <v>50</v>
      </c>
      <c r="P301" s="2" t="s">
        <v>50</v>
      </c>
      <c r="Q301" s="2" t="s">
        <v>54</v>
      </c>
      <c r="R301" s="2" t="s">
        <v>50</v>
      </c>
      <c r="S301" s="2">
        <v>7</v>
      </c>
      <c r="T301" s="2">
        <v>10</v>
      </c>
    </row>
    <row r="302" spans="1:20" x14ac:dyDescent="0.2">
      <c r="A302" s="2">
        <f t="shared" si="3"/>
        <v>301</v>
      </c>
      <c r="B302" s="2" t="s">
        <v>74</v>
      </c>
      <c r="C302" s="2">
        <v>2</v>
      </c>
      <c r="D302" s="2">
        <v>6</v>
      </c>
      <c r="E302" s="2">
        <v>47</v>
      </c>
      <c r="F302" s="2">
        <v>55</v>
      </c>
      <c r="G302" s="2">
        <v>68.66</v>
      </c>
      <c r="H302" s="2" t="s">
        <v>75</v>
      </c>
      <c r="I302" s="2" t="s">
        <v>93</v>
      </c>
      <c r="J302" s="2" t="s">
        <v>45</v>
      </c>
      <c r="K302" s="2" t="s">
        <v>74</v>
      </c>
      <c r="L302" s="2">
        <v>2024</v>
      </c>
      <c r="M302" s="2">
        <v>171</v>
      </c>
      <c r="N302" s="2">
        <v>1</v>
      </c>
      <c r="O302" s="2" t="s">
        <v>51</v>
      </c>
      <c r="P302" s="2" t="s">
        <v>50</v>
      </c>
      <c r="Q302" s="2" t="s">
        <v>54</v>
      </c>
      <c r="R302" s="2" t="s">
        <v>50</v>
      </c>
      <c r="S302" s="2">
        <v>2</v>
      </c>
      <c r="T302" s="2">
        <v>2</v>
      </c>
    </row>
    <row r="303" spans="1:20" x14ac:dyDescent="0.2">
      <c r="A303" s="2">
        <f t="shared" si="3"/>
        <v>302</v>
      </c>
      <c r="B303" s="2" t="s">
        <v>74</v>
      </c>
      <c r="C303" s="2">
        <v>1</v>
      </c>
      <c r="D303" s="2">
        <v>2</v>
      </c>
      <c r="E303" s="2">
        <v>43</v>
      </c>
      <c r="F303" s="2">
        <v>34</v>
      </c>
      <c r="G303" s="2">
        <v>142.71</v>
      </c>
      <c r="H303" s="2" t="s">
        <v>82</v>
      </c>
      <c r="I303" s="2" t="s">
        <v>78</v>
      </c>
      <c r="J303" s="2" t="s">
        <v>45</v>
      </c>
      <c r="K303" s="2" t="s">
        <v>74</v>
      </c>
      <c r="L303" s="2">
        <v>2021</v>
      </c>
      <c r="M303" s="2">
        <v>153</v>
      </c>
      <c r="N303" s="2">
        <v>2</v>
      </c>
      <c r="O303" s="2" t="s">
        <v>50</v>
      </c>
      <c r="P303" s="2" t="s">
        <v>50</v>
      </c>
      <c r="Q303" s="2" t="s">
        <v>52</v>
      </c>
      <c r="R303" s="2" t="s">
        <v>50</v>
      </c>
      <c r="S303" s="2">
        <v>5</v>
      </c>
      <c r="T303" s="2">
        <v>8</v>
      </c>
    </row>
    <row r="304" spans="1:20" x14ac:dyDescent="0.2">
      <c r="A304" s="2">
        <f t="shared" si="3"/>
        <v>303</v>
      </c>
      <c r="B304" s="2" t="s">
        <v>74</v>
      </c>
      <c r="C304" s="2">
        <v>2</v>
      </c>
      <c r="D304" s="2">
        <v>9</v>
      </c>
      <c r="E304" s="2">
        <v>2</v>
      </c>
      <c r="F304" s="2">
        <v>25</v>
      </c>
      <c r="G304" s="2">
        <v>111.56</v>
      </c>
      <c r="H304" s="2" t="s">
        <v>82</v>
      </c>
      <c r="I304" s="2" t="s">
        <v>86</v>
      </c>
      <c r="J304" s="2" t="s">
        <v>45</v>
      </c>
      <c r="K304" s="2" t="s">
        <v>74</v>
      </c>
      <c r="L304" s="2">
        <v>2019</v>
      </c>
      <c r="M304" s="2">
        <v>167</v>
      </c>
      <c r="N304" s="2">
        <v>0</v>
      </c>
      <c r="O304" s="2" t="s">
        <v>50</v>
      </c>
      <c r="P304" s="2" t="s">
        <v>50</v>
      </c>
      <c r="Q304" s="2" t="s">
        <v>54</v>
      </c>
      <c r="R304" s="2" t="s">
        <v>50</v>
      </c>
      <c r="S304" s="2">
        <v>12</v>
      </c>
      <c r="T304" s="2">
        <v>5</v>
      </c>
    </row>
    <row r="305" spans="1:20" x14ac:dyDescent="0.2">
      <c r="A305" s="2">
        <f t="shared" si="3"/>
        <v>304</v>
      </c>
      <c r="B305" s="2" t="s">
        <v>74</v>
      </c>
      <c r="C305" s="2">
        <v>1</v>
      </c>
      <c r="D305" s="2">
        <v>5</v>
      </c>
      <c r="E305" s="2">
        <v>37</v>
      </c>
      <c r="F305" s="2">
        <v>34</v>
      </c>
      <c r="G305" s="2">
        <v>146.18</v>
      </c>
      <c r="H305" s="2" t="s">
        <v>77</v>
      </c>
      <c r="I305" s="2" t="s">
        <v>91</v>
      </c>
      <c r="J305" s="2" t="s">
        <v>45</v>
      </c>
      <c r="K305" s="2" t="s">
        <v>74</v>
      </c>
      <c r="L305" s="2">
        <v>2025</v>
      </c>
      <c r="M305" s="2">
        <v>186</v>
      </c>
      <c r="N305" s="2">
        <v>1</v>
      </c>
      <c r="O305" s="2" t="s">
        <v>51</v>
      </c>
      <c r="P305" s="2" t="s">
        <v>51</v>
      </c>
      <c r="Q305" s="2" t="s">
        <v>52</v>
      </c>
      <c r="R305" s="2" t="s">
        <v>51</v>
      </c>
      <c r="S305" s="2">
        <v>9</v>
      </c>
      <c r="T305" s="2">
        <v>4</v>
      </c>
    </row>
    <row r="306" spans="1:20" x14ac:dyDescent="0.2">
      <c r="A306" s="2">
        <f t="shared" si="3"/>
        <v>305</v>
      </c>
      <c r="B306" s="2" t="s">
        <v>74</v>
      </c>
      <c r="C306" s="2">
        <v>1</v>
      </c>
      <c r="D306" s="2">
        <v>8</v>
      </c>
      <c r="E306" s="2">
        <v>54</v>
      </c>
      <c r="F306" s="2">
        <v>20</v>
      </c>
      <c r="G306" s="2">
        <v>211.63</v>
      </c>
      <c r="H306" s="2" t="s">
        <v>77</v>
      </c>
      <c r="I306" s="2" t="s">
        <v>86</v>
      </c>
      <c r="J306" s="2" t="s">
        <v>45</v>
      </c>
      <c r="K306" s="2" t="s">
        <v>74</v>
      </c>
      <c r="L306" s="2">
        <v>2021</v>
      </c>
      <c r="M306" s="2">
        <v>192</v>
      </c>
      <c r="N306" s="2">
        <v>4</v>
      </c>
      <c r="O306" s="2" t="s">
        <v>50</v>
      </c>
      <c r="P306" s="2" t="s">
        <v>50</v>
      </c>
      <c r="Q306" s="2" t="s">
        <v>52</v>
      </c>
      <c r="R306" s="2" t="s">
        <v>51</v>
      </c>
      <c r="S306" s="2">
        <v>6</v>
      </c>
      <c r="T306" s="2">
        <v>8</v>
      </c>
    </row>
    <row r="307" spans="1:20" x14ac:dyDescent="0.2">
      <c r="A307" s="2">
        <f t="shared" si="3"/>
        <v>306</v>
      </c>
      <c r="B307" s="2" t="s">
        <v>74</v>
      </c>
      <c r="C307" s="2">
        <v>2</v>
      </c>
      <c r="D307" s="2">
        <v>4</v>
      </c>
      <c r="E307" s="2">
        <v>24</v>
      </c>
      <c r="F307" s="2">
        <v>19</v>
      </c>
      <c r="G307" s="2">
        <v>235.36</v>
      </c>
      <c r="H307" s="2" t="s">
        <v>82</v>
      </c>
      <c r="I307" s="2" t="s">
        <v>80</v>
      </c>
      <c r="J307" s="2" t="s">
        <v>45</v>
      </c>
      <c r="K307" s="2" t="s">
        <v>74</v>
      </c>
      <c r="L307" s="2">
        <v>2023</v>
      </c>
      <c r="M307" s="2">
        <v>134</v>
      </c>
      <c r="N307" s="2">
        <v>10</v>
      </c>
      <c r="O307" s="2" t="s">
        <v>51</v>
      </c>
      <c r="P307" s="2" t="s">
        <v>51</v>
      </c>
      <c r="Q307" s="2" t="s">
        <v>55</v>
      </c>
      <c r="R307" s="2" t="s">
        <v>51</v>
      </c>
      <c r="S307" s="2">
        <v>4</v>
      </c>
      <c r="T307" s="2">
        <v>10</v>
      </c>
    </row>
    <row r="308" spans="1:20" x14ac:dyDescent="0.2">
      <c r="A308" s="2">
        <f t="shared" si="3"/>
        <v>307</v>
      </c>
      <c r="B308" s="2" t="s">
        <v>74</v>
      </c>
      <c r="C308" s="2">
        <v>2</v>
      </c>
      <c r="D308" s="2">
        <v>9</v>
      </c>
      <c r="E308" s="2">
        <v>90</v>
      </c>
      <c r="F308" s="2">
        <v>1</v>
      </c>
      <c r="G308" s="2">
        <v>162.56</v>
      </c>
      <c r="H308" s="2" t="s">
        <v>77</v>
      </c>
      <c r="I308" s="2" t="s">
        <v>89</v>
      </c>
      <c r="J308" s="2" t="s">
        <v>45</v>
      </c>
      <c r="K308" s="2" t="s">
        <v>74</v>
      </c>
      <c r="L308" s="2">
        <v>2025</v>
      </c>
      <c r="M308" s="2">
        <v>196</v>
      </c>
      <c r="N308" s="2">
        <v>0</v>
      </c>
      <c r="O308" s="2" t="s">
        <v>50</v>
      </c>
      <c r="P308" s="2" t="s">
        <v>50</v>
      </c>
      <c r="Q308" s="2" t="s">
        <v>55</v>
      </c>
      <c r="R308" s="2" t="s">
        <v>50</v>
      </c>
      <c r="S308" s="2">
        <v>9</v>
      </c>
      <c r="T308" s="2">
        <v>3</v>
      </c>
    </row>
    <row r="309" spans="1:20" x14ac:dyDescent="0.2">
      <c r="A309" s="2">
        <f t="shared" si="3"/>
        <v>308</v>
      </c>
      <c r="B309" s="2" t="s">
        <v>74</v>
      </c>
      <c r="C309" s="2">
        <v>2</v>
      </c>
      <c r="D309" s="2">
        <v>4</v>
      </c>
      <c r="E309" s="2">
        <v>79</v>
      </c>
      <c r="F309" s="2">
        <v>41</v>
      </c>
      <c r="G309" s="2">
        <v>141.97999999999999</v>
      </c>
      <c r="H309" s="2" t="s">
        <v>92</v>
      </c>
      <c r="I309" s="2" t="s">
        <v>84</v>
      </c>
      <c r="J309" s="2" t="s">
        <v>45</v>
      </c>
      <c r="K309" s="2" t="s">
        <v>74</v>
      </c>
      <c r="L309" s="2">
        <v>2019</v>
      </c>
      <c r="M309" s="2">
        <v>158</v>
      </c>
      <c r="N309" s="2">
        <v>9</v>
      </c>
      <c r="O309" s="2" t="s">
        <v>51</v>
      </c>
      <c r="P309" s="2" t="s">
        <v>51</v>
      </c>
      <c r="Q309" s="2" t="s">
        <v>52</v>
      </c>
      <c r="R309" s="2" t="s">
        <v>50</v>
      </c>
      <c r="S309" s="2">
        <v>3</v>
      </c>
      <c r="T309" s="2">
        <v>10</v>
      </c>
    </row>
    <row r="310" spans="1:20" x14ac:dyDescent="0.2">
      <c r="A310" s="2">
        <f t="shared" si="3"/>
        <v>309</v>
      </c>
      <c r="B310" s="2" t="s">
        <v>74</v>
      </c>
      <c r="C310" s="2">
        <v>1</v>
      </c>
      <c r="D310" s="2">
        <v>11</v>
      </c>
      <c r="E310" s="2">
        <v>2</v>
      </c>
      <c r="F310" s="2">
        <v>32</v>
      </c>
      <c r="G310" s="2">
        <v>235.23</v>
      </c>
      <c r="H310" s="2" t="s">
        <v>82</v>
      </c>
      <c r="I310" s="2" t="s">
        <v>78</v>
      </c>
      <c r="J310" s="2" t="s">
        <v>45</v>
      </c>
      <c r="K310" s="2" t="s">
        <v>74</v>
      </c>
      <c r="L310" s="2">
        <v>2019</v>
      </c>
      <c r="M310" s="2">
        <v>123</v>
      </c>
      <c r="N310" s="2">
        <v>2</v>
      </c>
      <c r="O310" s="2" t="s">
        <v>51</v>
      </c>
      <c r="P310" s="2" t="s">
        <v>51</v>
      </c>
      <c r="Q310" s="2" t="s">
        <v>54</v>
      </c>
      <c r="R310" s="2" t="s">
        <v>50</v>
      </c>
      <c r="S310" s="2">
        <v>10</v>
      </c>
      <c r="T310" s="2">
        <v>3</v>
      </c>
    </row>
    <row r="311" spans="1:20" x14ac:dyDescent="0.2">
      <c r="A311" s="2">
        <f t="shared" si="3"/>
        <v>310</v>
      </c>
      <c r="B311" s="2" t="s">
        <v>74</v>
      </c>
      <c r="C311" s="2">
        <v>2</v>
      </c>
      <c r="D311" s="2">
        <v>2</v>
      </c>
      <c r="E311" s="2">
        <v>50</v>
      </c>
      <c r="F311" s="2">
        <v>23</v>
      </c>
      <c r="G311" s="2">
        <v>170.45</v>
      </c>
      <c r="H311" s="2" t="s">
        <v>92</v>
      </c>
      <c r="I311" s="2" t="s">
        <v>86</v>
      </c>
      <c r="J311" s="2" t="s">
        <v>45</v>
      </c>
      <c r="K311" s="2" t="s">
        <v>74</v>
      </c>
      <c r="L311" s="2">
        <v>2024</v>
      </c>
      <c r="M311" s="2">
        <v>162</v>
      </c>
      <c r="N311" s="2">
        <v>1</v>
      </c>
      <c r="O311" s="2" t="s">
        <v>51</v>
      </c>
      <c r="P311" s="2" t="s">
        <v>51</v>
      </c>
      <c r="Q311" s="2" t="s">
        <v>54</v>
      </c>
      <c r="R311" s="2" t="s">
        <v>51</v>
      </c>
      <c r="S311" s="2">
        <v>10</v>
      </c>
      <c r="T311" s="2">
        <v>8</v>
      </c>
    </row>
    <row r="312" spans="1:20" x14ac:dyDescent="0.2">
      <c r="A312" s="2">
        <f t="shared" si="3"/>
        <v>311</v>
      </c>
      <c r="B312" s="2" t="s">
        <v>74</v>
      </c>
      <c r="C312" s="2">
        <v>1</v>
      </c>
      <c r="D312" s="2">
        <v>5</v>
      </c>
      <c r="E312" s="2">
        <v>34</v>
      </c>
      <c r="F312" s="2">
        <v>58</v>
      </c>
      <c r="G312" s="2">
        <v>107.62</v>
      </c>
      <c r="H312" s="2" t="s">
        <v>77</v>
      </c>
      <c r="I312" s="2" t="s">
        <v>93</v>
      </c>
      <c r="J312" s="2" t="s">
        <v>45</v>
      </c>
      <c r="K312" s="2" t="s">
        <v>74</v>
      </c>
      <c r="L312" s="2">
        <v>2019</v>
      </c>
      <c r="M312" s="2">
        <v>129</v>
      </c>
      <c r="N312" s="2">
        <v>9</v>
      </c>
      <c r="O312" s="2" t="s">
        <v>51</v>
      </c>
      <c r="P312" s="2" t="s">
        <v>51</v>
      </c>
      <c r="Q312" s="2" t="s">
        <v>52</v>
      </c>
      <c r="R312" s="2" t="s">
        <v>51</v>
      </c>
      <c r="S312" s="2">
        <v>6</v>
      </c>
      <c r="T312" s="2">
        <v>8</v>
      </c>
    </row>
    <row r="313" spans="1:20" x14ac:dyDescent="0.2">
      <c r="A313" s="2">
        <f t="shared" si="3"/>
        <v>312</v>
      </c>
      <c r="B313" s="2" t="s">
        <v>74</v>
      </c>
      <c r="C313" s="2">
        <v>1</v>
      </c>
      <c r="D313" s="2">
        <v>9</v>
      </c>
      <c r="E313" s="2">
        <v>5</v>
      </c>
      <c r="F313" s="2">
        <v>3</v>
      </c>
      <c r="G313" s="2">
        <v>226.64</v>
      </c>
      <c r="H313" s="2" t="s">
        <v>87</v>
      </c>
      <c r="I313" s="2" t="s">
        <v>93</v>
      </c>
      <c r="J313" s="2" t="s">
        <v>45</v>
      </c>
      <c r="K313" s="2" t="s">
        <v>74</v>
      </c>
      <c r="L313" s="2">
        <v>2017</v>
      </c>
      <c r="M313" s="2">
        <v>170</v>
      </c>
      <c r="N313" s="2">
        <v>2</v>
      </c>
      <c r="O313" s="2" t="s">
        <v>50</v>
      </c>
      <c r="P313" s="2" t="s">
        <v>50</v>
      </c>
      <c r="Q313" s="2" t="s">
        <v>54</v>
      </c>
      <c r="R313" s="2" t="s">
        <v>50</v>
      </c>
      <c r="S313" s="2">
        <v>9</v>
      </c>
      <c r="T313" s="2">
        <v>8</v>
      </c>
    </row>
    <row r="314" spans="1:20" x14ac:dyDescent="0.2">
      <c r="A314" s="2">
        <f t="shared" si="3"/>
        <v>313</v>
      </c>
      <c r="B314" s="2" t="s">
        <v>74</v>
      </c>
      <c r="C314" s="2">
        <v>1</v>
      </c>
      <c r="D314" s="2">
        <v>1</v>
      </c>
      <c r="E314" s="2">
        <v>11</v>
      </c>
      <c r="F314" s="2">
        <v>25</v>
      </c>
      <c r="G314" s="2">
        <v>98.44</v>
      </c>
      <c r="H314" s="2" t="s">
        <v>79</v>
      </c>
      <c r="I314" s="2" t="s">
        <v>91</v>
      </c>
      <c r="J314" s="2" t="s">
        <v>45</v>
      </c>
      <c r="K314" s="2" t="s">
        <v>74</v>
      </c>
      <c r="L314" s="2">
        <v>2018</v>
      </c>
      <c r="M314" s="2">
        <v>191</v>
      </c>
      <c r="N314" s="2">
        <v>0</v>
      </c>
      <c r="O314" s="2" t="s">
        <v>51</v>
      </c>
      <c r="P314" s="2" t="s">
        <v>50</v>
      </c>
      <c r="Q314" s="2" t="s">
        <v>54</v>
      </c>
      <c r="R314" s="2" t="s">
        <v>50</v>
      </c>
      <c r="S314" s="2">
        <v>1</v>
      </c>
      <c r="T314" s="2">
        <v>9</v>
      </c>
    </row>
    <row r="315" spans="1:20" x14ac:dyDescent="0.2">
      <c r="A315" s="2">
        <f t="shared" si="3"/>
        <v>314</v>
      </c>
      <c r="B315" s="2" t="s">
        <v>74</v>
      </c>
      <c r="C315" s="2">
        <v>1</v>
      </c>
      <c r="D315" s="2">
        <v>5</v>
      </c>
      <c r="E315" s="2">
        <v>78</v>
      </c>
      <c r="F315" s="2">
        <v>32</v>
      </c>
      <c r="G315" s="2">
        <v>232.42</v>
      </c>
      <c r="H315" s="2" t="s">
        <v>79</v>
      </c>
      <c r="I315" s="2" t="s">
        <v>89</v>
      </c>
      <c r="J315" s="2" t="s">
        <v>45</v>
      </c>
      <c r="K315" s="2" t="s">
        <v>74</v>
      </c>
      <c r="L315" s="2">
        <v>2017</v>
      </c>
      <c r="M315" s="2">
        <v>147</v>
      </c>
      <c r="N315" s="2">
        <v>2</v>
      </c>
      <c r="O315" s="2" t="s">
        <v>50</v>
      </c>
      <c r="P315" s="2" t="s">
        <v>50</v>
      </c>
      <c r="Q315" s="2" t="s">
        <v>55</v>
      </c>
      <c r="R315" s="2" t="s">
        <v>50</v>
      </c>
      <c r="S315" s="2">
        <v>6</v>
      </c>
      <c r="T315" s="2">
        <v>2</v>
      </c>
    </row>
    <row r="316" spans="1:20" x14ac:dyDescent="0.2">
      <c r="A316" s="2">
        <f t="shared" si="3"/>
        <v>315</v>
      </c>
      <c r="B316" s="2" t="s">
        <v>74</v>
      </c>
      <c r="C316" s="2">
        <v>1</v>
      </c>
      <c r="D316" s="2">
        <v>11</v>
      </c>
      <c r="E316" s="2">
        <v>24</v>
      </c>
      <c r="F316" s="2">
        <v>39</v>
      </c>
      <c r="G316" s="2">
        <v>229.05</v>
      </c>
      <c r="H316" s="2" t="s">
        <v>82</v>
      </c>
      <c r="I316" s="2" t="s">
        <v>93</v>
      </c>
      <c r="J316" s="2" t="s">
        <v>45</v>
      </c>
      <c r="K316" s="2" t="s">
        <v>74</v>
      </c>
      <c r="L316" s="2">
        <v>2017</v>
      </c>
      <c r="M316" s="2">
        <v>231</v>
      </c>
      <c r="N316" s="2">
        <v>1</v>
      </c>
      <c r="O316" s="2" t="s">
        <v>51</v>
      </c>
      <c r="P316" s="2" t="s">
        <v>50</v>
      </c>
      <c r="Q316" s="2" t="s">
        <v>52</v>
      </c>
      <c r="R316" s="2" t="s">
        <v>50</v>
      </c>
      <c r="S316" s="2">
        <v>11</v>
      </c>
      <c r="T316" s="2">
        <v>8</v>
      </c>
    </row>
    <row r="317" spans="1:20" x14ac:dyDescent="0.2">
      <c r="A317" s="2">
        <f t="shared" si="3"/>
        <v>316</v>
      </c>
      <c r="B317" s="2" t="s">
        <v>74</v>
      </c>
      <c r="C317" s="2">
        <v>1</v>
      </c>
      <c r="D317" s="2">
        <v>7</v>
      </c>
      <c r="E317" s="2">
        <v>57</v>
      </c>
      <c r="F317" s="2">
        <v>16</v>
      </c>
      <c r="G317" s="2">
        <v>215</v>
      </c>
      <c r="H317" s="2" t="s">
        <v>87</v>
      </c>
      <c r="I317" s="2" t="s">
        <v>91</v>
      </c>
      <c r="J317" s="2" t="s">
        <v>45</v>
      </c>
      <c r="K317" s="2" t="s">
        <v>74</v>
      </c>
      <c r="L317" s="2">
        <v>2021</v>
      </c>
      <c r="M317" s="2">
        <v>194</v>
      </c>
      <c r="N317" s="2">
        <v>1</v>
      </c>
      <c r="O317" s="2" t="s">
        <v>51</v>
      </c>
      <c r="P317" s="2" t="s">
        <v>50</v>
      </c>
      <c r="Q317" s="2" t="s">
        <v>52</v>
      </c>
      <c r="R317" s="2" t="s">
        <v>51</v>
      </c>
      <c r="S317" s="2">
        <v>10</v>
      </c>
      <c r="T317" s="2">
        <v>4</v>
      </c>
    </row>
    <row r="318" spans="1:20" x14ac:dyDescent="0.2">
      <c r="A318" s="2">
        <f t="shared" si="3"/>
        <v>317</v>
      </c>
      <c r="B318" s="2" t="s">
        <v>74</v>
      </c>
      <c r="C318" s="2">
        <v>1</v>
      </c>
      <c r="D318" s="2">
        <v>5</v>
      </c>
      <c r="E318" s="2">
        <v>13</v>
      </c>
      <c r="F318" s="2">
        <v>22</v>
      </c>
      <c r="G318" s="2">
        <v>120.29</v>
      </c>
      <c r="H318" s="2" t="s">
        <v>79</v>
      </c>
      <c r="I318" s="2" t="s">
        <v>90</v>
      </c>
      <c r="J318" s="2" t="s">
        <v>45</v>
      </c>
      <c r="K318" s="2" t="s">
        <v>74</v>
      </c>
      <c r="L318" s="2">
        <v>2023</v>
      </c>
      <c r="M318" s="2">
        <v>208</v>
      </c>
      <c r="N318" s="2">
        <v>5</v>
      </c>
      <c r="O318" s="2" t="s">
        <v>50</v>
      </c>
      <c r="P318" s="2" t="s">
        <v>50</v>
      </c>
      <c r="Q318" s="2" t="s">
        <v>54</v>
      </c>
      <c r="R318" s="2" t="s">
        <v>50</v>
      </c>
      <c r="S318" s="2">
        <v>10</v>
      </c>
      <c r="T318" s="2">
        <v>7</v>
      </c>
    </row>
    <row r="319" spans="1:20" x14ac:dyDescent="0.2">
      <c r="A319" s="2">
        <f t="shared" si="3"/>
        <v>318</v>
      </c>
      <c r="B319" s="2" t="s">
        <v>74</v>
      </c>
      <c r="C319" s="2">
        <v>1</v>
      </c>
      <c r="D319" s="2">
        <v>9</v>
      </c>
      <c r="E319" s="2">
        <v>26</v>
      </c>
      <c r="F319" s="2">
        <v>53</v>
      </c>
      <c r="G319" s="2">
        <v>122.76</v>
      </c>
      <c r="H319" s="2" t="s">
        <v>85</v>
      </c>
      <c r="I319" s="2" t="s">
        <v>89</v>
      </c>
      <c r="J319" s="2" t="s">
        <v>45</v>
      </c>
      <c r="K319" s="2" t="s">
        <v>74</v>
      </c>
      <c r="L319" s="2">
        <v>2017</v>
      </c>
      <c r="M319" s="2">
        <v>129</v>
      </c>
      <c r="N319" s="2">
        <v>1</v>
      </c>
      <c r="O319" s="2" t="s">
        <v>51</v>
      </c>
      <c r="P319" s="2" t="s">
        <v>51</v>
      </c>
      <c r="Q319" s="2" t="s">
        <v>55</v>
      </c>
      <c r="R319" s="2" t="s">
        <v>51</v>
      </c>
      <c r="S319" s="2">
        <v>3</v>
      </c>
      <c r="T319" s="2">
        <v>7</v>
      </c>
    </row>
    <row r="320" spans="1:20" x14ac:dyDescent="0.2">
      <c r="A320" s="2">
        <f t="shared" si="3"/>
        <v>319</v>
      </c>
      <c r="B320" s="2" t="s">
        <v>74</v>
      </c>
      <c r="C320" s="2">
        <v>1</v>
      </c>
      <c r="D320" s="2">
        <v>2</v>
      </c>
      <c r="E320" s="2">
        <v>36</v>
      </c>
      <c r="F320" s="2">
        <v>49</v>
      </c>
      <c r="G320" s="2">
        <v>108.53</v>
      </c>
      <c r="H320" s="2" t="s">
        <v>82</v>
      </c>
      <c r="I320" s="2" t="s">
        <v>78</v>
      </c>
      <c r="J320" s="2" t="s">
        <v>45</v>
      </c>
      <c r="K320" s="2" t="s">
        <v>74</v>
      </c>
      <c r="L320" s="2">
        <v>2021</v>
      </c>
      <c r="M320" s="2">
        <v>175</v>
      </c>
      <c r="N320" s="2">
        <v>7</v>
      </c>
      <c r="O320" s="2" t="s">
        <v>51</v>
      </c>
      <c r="P320" s="2" t="s">
        <v>51</v>
      </c>
      <c r="Q320" s="2" t="s">
        <v>54</v>
      </c>
      <c r="R320" s="2" t="s">
        <v>51</v>
      </c>
      <c r="S320" s="2">
        <v>10</v>
      </c>
      <c r="T320" s="2">
        <v>8</v>
      </c>
    </row>
    <row r="321" spans="1:20" x14ac:dyDescent="0.2">
      <c r="A321" s="2">
        <f t="shared" si="3"/>
        <v>320</v>
      </c>
      <c r="B321" s="2" t="s">
        <v>74</v>
      </c>
      <c r="C321" s="2">
        <v>1</v>
      </c>
      <c r="D321" s="2">
        <v>10</v>
      </c>
      <c r="E321" s="2">
        <v>10</v>
      </c>
      <c r="F321" s="2">
        <v>39</v>
      </c>
      <c r="G321" s="2">
        <v>223.73</v>
      </c>
      <c r="H321" s="2" t="s">
        <v>82</v>
      </c>
      <c r="I321" s="2" t="s">
        <v>91</v>
      </c>
      <c r="J321" s="2" t="s">
        <v>45</v>
      </c>
      <c r="K321" s="2" t="s">
        <v>74</v>
      </c>
      <c r="L321" s="2">
        <v>2022</v>
      </c>
      <c r="M321" s="2">
        <v>228</v>
      </c>
      <c r="N321" s="2">
        <v>6</v>
      </c>
      <c r="O321" s="2" t="s">
        <v>51</v>
      </c>
      <c r="P321" s="2" t="s">
        <v>50</v>
      </c>
      <c r="Q321" s="2" t="s">
        <v>52</v>
      </c>
      <c r="R321" s="2" t="s">
        <v>51</v>
      </c>
      <c r="S321" s="2">
        <v>9</v>
      </c>
      <c r="T321" s="2">
        <v>9</v>
      </c>
    </row>
    <row r="322" spans="1:20" x14ac:dyDescent="0.2">
      <c r="A322" s="2">
        <f t="shared" si="3"/>
        <v>321</v>
      </c>
      <c r="B322" s="2" t="s">
        <v>74</v>
      </c>
      <c r="C322" s="2">
        <v>2</v>
      </c>
      <c r="D322" s="2">
        <v>10</v>
      </c>
      <c r="E322" s="2">
        <v>66</v>
      </c>
      <c r="F322" s="2">
        <v>7</v>
      </c>
      <c r="G322" s="2">
        <v>174.08</v>
      </c>
      <c r="H322" s="2" t="s">
        <v>88</v>
      </c>
      <c r="I322" s="2" t="s">
        <v>89</v>
      </c>
      <c r="J322" s="2" t="s">
        <v>45</v>
      </c>
      <c r="K322" s="2" t="s">
        <v>74</v>
      </c>
      <c r="L322" s="2">
        <v>2025</v>
      </c>
      <c r="M322" s="2">
        <v>165</v>
      </c>
      <c r="N322" s="2">
        <v>7</v>
      </c>
      <c r="O322" s="2" t="s">
        <v>51</v>
      </c>
      <c r="P322" s="2" t="s">
        <v>50</v>
      </c>
      <c r="Q322" s="2" t="s">
        <v>55</v>
      </c>
      <c r="R322" s="2" t="s">
        <v>51</v>
      </c>
      <c r="S322" s="2">
        <v>2</v>
      </c>
      <c r="T322" s="2">
        <v>2</v>
      </c>
    </row>
    <row r="323" spans="1:20" x14ac:dyDescent="0.2">
      <c r="A323" s="2">
        <f t="shared" si="3"/>
        <v>322</v>
      </c>
      <c r="B323" s="2" t="s">
        <v>74</v>
      </c>
      <c r="C323" s="2">
        <v>2</v>
      </c>
      <c r="D323" s="2">
        <v>1</v>
      </c>
      <c r="E323" s="2">
        <v>58</v>
      </c>
      <c r="F323" s="2">
        <v>20</v>
      </c>
      <c r="G323" s="2">
        <v>180.26</v>
      </c>
      <c r="H323" s="2" t="s">
        <v>92</v>
      </c>
      <c r="I323" s="2" t="s">
        <v>89</v>
      </c>
      <c r="J323" s="2" t="s">
        <v>45</v>
      </c>
      <c r="K323" s="2" t="s">
        <v>74</v>
      </c>
      <c r="L323" s="2">
        <v>2021</v>
      </c>
      <c r="M323" s="2">
        <v>235</v>
      </c>
      <c r="N323" s="2">
        <v>8</v>
      </c>
      <c r="O323" s="2" t="s">
        <v>51</v>
      </c>
      <c r="P323" s="2" t="s">
        <v>50</v>
      </c>
      <c r="Q323" s="2" t="s">
        <v>55</v>
      </c>
      <c r="R323" s="2" t="s">
        <v>50</v>
      </c>
      <c r="S323" s="2">
        <v>9</v>
      </c>
      <c r="T323" s="2">
        <v>2</v>
      </c>
    </row>
    <row r="324" spans="1:20" x14ac:dyDescent="0.2">
      <c r="A324" s="2">
        <f t="shared" si="3"/>
        <v>323</v>
      </c>
      <c r="B324" s="2" t="s">
        <v>74</v>
      </c>
      <c r="C324" s="2">
        <v>1</v>
      </c>
      <c r="D324" s="2">
        <v>2</v>
      </c>
      <c r="E324" s="2">
        <v>31</v>
      </c>
      <c r="F324" s="2">
        <v>26</v>
      </c>
      <c r="G324" s="2">
        <v>119.39</v>
      </c>
      <c r="H324" s="2" t="s">
        <v>92</v>
      </c>
      <c r="I324" s="2" t="s">
        <v>93</v>
      </c>
      <c r="J324" s="2" t="s">
        <v>45</v>
      </c>
      <c r="K324" s="2" t="s">
        <v>74</v>
      </c>
      <c r="L324" s="2">
        <v>2018</v>
      </c>
      <c r="M324" s="2">
        <v>170</v>
      </c>
      <c r="N324" s="2">
        <v>9</v>
      </c>
      <c r="O324" s="2" t="s">
        <v>51</v>
      </c>
      <c r="P324" s="2" t="s">
        <v>51</v>
      </c>
      <c r="Q324" s="2" t="s">
        <v>55</v>
      </c>
      <c r="R324" s="2" t="s">
        <v>51</v>
      </c>
      <c r="S324" s="2">
        <v>10</v>
      </c>
      <c r="T324" s="2">
        <v>4</v>
      </c>
    </row>
    <row r="325" spans="1:20" x14ac:dyDescent="0.2">
      <c r="A325" s="2">
        <f t="shared" si="3"/>
        <v>324</v>
      </c>
      <c r="B325" s="2" t="s">
        <v>74</v>
      </c>
      <c r="C325" s="2">
        <v>2</v>
      </c>
      <c r="D325" s="2">
        <v>1</v>
      </c>
      <c r="E325" s="2">
        <v>36</v>
      </c>
      <c r="F325" s="2">
        <v>9</v>
      </c>
      <c r="G325" s="2">
        <v>235.79</v>
      </c>
      <c r="H325" s="2" t="s">
        <v>82</v>
      </c>
      <c r="I325" s="2" t="s">
        <v>84</v>
      </c>
      <c r="J325" s="2" t="s">
        <v>45</v>
      </c>
      <c r="K325" s="2" t="s">
        <v>74</v>
      </c>
      <c r="L325" s="2">
        <v>2024</v>
      </c>
      <c r="M325" s="2">
        <v>154</v>
      </c>
      <c r="N325" s="2">
        <v>3</v>
      </c>
      <c r="O325" s="2" t="s">
        <v>50</v>
      </c>
      <c r="P325" s="2" t="s">
        <v>50</v>
      </c>
      <c r="Q325" s="2" t="s">
        <v>54</v>
      </c>
      <c r="R325" s="2" t="s">
        <v>51</v>
      </c>
      <c r="S325" s="2">
        <v>10</v>
      </c>
      <c r="T325" s="2">
        <v>3</v>
      </c>
    </row>
    <row r="326" spans="1:20" x14ac:dyDescent="0.2">
      <c r="A326" s="2">
        <f t="shared" si="3"/>
        <v>325</v>
      </c>
      <c r="B326" s="2" t="s">
        <v>74</v>
      </c>
      <c r="C326" s="2">
        <v>2</v>
      </c>
      <c r="D326" s="2">
        <v>5</v>
      </c>
      <c r="E326" s="2">
        <v>4</v>
      </c>
      <c r="F326" s="2">
        <v>3</v>
      </c>
      <c r="G326" s="2">
        <v>73.12</v>
      </c>
      <c r="H326" s="2" t="s">
        <v>88</v>
      </c>
      <c r="I326" s="2" t="s">
        <v>76</v>
      </c>
      <c r="J326" s="2" t="s">
        <v>45</v>
      </c>
      <c r="K326" s="2" t="s">
        <v>74</v>
      </c>
      <c r="L326" s="2">
        <v>2018</v>
      </c>
      <c r="M326" s="2">
        <v>224</v>
      </c>
      <c r="N326" s="2">
        <v>4</v>
      </c>
      <c r="O326" s="2" t="s">
        <v>50</v>
      </c>
      <c r="P326" s="2" t="s">
        <v>50</v>
      </c>
      <c r="Q326" s="2" t="s">
        <v>54</v>
      </c>
      <c r="R326" s="2" t="s">
        <v>51</v>
      </c>
      <c r="S326" s="2">
        <v>6</v>
      </c>
      <c r="T326" s="2">
        <v>3</v>
      </c>
    </row>
    <row r="327" spans="1:20" x14ac:dyDescent="0.2">
      <c r="A327" s="2">
        <f t="shared" si="3"/>
        <v>326</v>
      </c>
      <c r="B327" s="2" t="s">
        <v>74</v>
      </c>
      <c r="C327" s="2">
        <v>2</v>
      </c>
      <c r="D327" s="2">
        <v>5</v>
      </c>
      <c r="E327" s="2">
        <v>69</v>
      </c>
      <c r="F327" s="2">
        <v>22</v>
      </c>
      <c r="G327" s="2">
        <v>199.31</v>
      </c>
      <c r="H327" s="2" t="s">
        <v>82</v>
      </c>
      <c r="I327" s="2" t="s">
        <v>93</v>
      </c>
      <c r="J327" s="2" t="s">
        <v>45</v>
      </c>
      <c r="K327" s="2" t="s">
        <v>74</v>
      </c>
      <c r="L327" s="2">
        <v>2021</v>
      </c>
      <c r="M327" s="2">
        <v>180</v>
      </c>
      <c r="N327" s="2">
        <v>7</v>
      </c>
      <c r="O327" s="2" t="s">
        <v>51</v>
      </c>
      <c r="P327" s="2" t="s">
        <v>50</v>
      </c>
      <c r="Q327" s="2" t="s">
        <v>52</v>
      </c>
      <c r="R327" s="2" t="s">
        <v>50</v>
      </c>
      <c r="S327" s="2">
        <v>1</v>
      </c>
      <c r="T327" s="2">
        <v>2</v>
      </c>
    </row>
    <row r="328" spans="1:20" x14ac:dyDescent="0.2">
      <c r="A328" s="2">
        <f t="shared" si="3"/>
        <v>327</v>
      </c>
      <c r="B328" s="2" t="s">
        <v>74</v>
      </c>
      <c r="C328" s="2">
        <v>2</v>
      </c>
      <c r="D328" s="2">
        <v>6</v>
      </c>
      <c r="E328" s="2">
        <v>59</v>
      </c>
      <c r="F328" s="2">
        <v>26</v>
      </c>
      <c r="G328" s="2">
        <v>101.21</v>
      </c>
      <c r="H328" s="2" t="s">
        <v>75</v>
      </c>
      <c r="I328" s="2" t="s">
        <v>90</v>
      </c>
      <c r="J328" s="2" t="s">
        <v>45</v>
      </c>
      <c r="K328" s="2" t="s">
        <v>74</v>
      </c>
      <c r="L328" s="2">
        <v>2019</v>
      </c>
      <c r="M328" s="2">
        <v>186</v>
      </c>
      <c r="N328" s="2">
        <v>9</v>
      </c>
      <c r="O328" s="2" t="s">
        <v>51</v>
      </c>
      <c r="P328" s="2" t="s">
        <v>50</v>
      </c>
      <c r="Q328" s="2" t="s">
        <v>54</v>
      </c>
      <c r="R328" s="2" t="s">
        <v>50</v>
      </c>
      <c r="S328" s="2">
        <v>8</v>
      </c>
      <c r="T328" s="2">
        <v>1</v>
      </c>
    </row>
    <row r="329" spans="1:20" x14ac:dyDescent="0.2">
      <c r="A329" s="2">
        <f t="shared" si="3"/>
        <v>328</v>
      </c>
      <c r="B329" s="2" t="s">
        <v>74</v>
      </c>
      <c r="C329" s="2">
        <v>2</v>
      </c>
      <c r="D329" s="2">
        <v>11</v>
      </c>
      <c r="E329" s="2">
        <v>41</v>
      </c>
      <c r="F329" s="2">
        <v>15</v>
      </c>
      <c r="G329" s="2">
        <v>112.65</v>
      </c>
      <c r="H329" s="2" t="s">
        <v>88</v>
      </c>
      <c r="I329" s="2" t="s">
        <v>78</v>
      </c>
      <c r="J329" s="2" t="s">
        <v>45</v>
      </c>
      <c r="K329" s="2" t="s">
        <v>74</v>
      </c>
      <c r="L329" s="2">
        <v>2019</v>
      </c>
      <c r="M329" s="2">
        <v>122</v>
      </c>
      <c r="N329" s="2">
        <v>8</v>
      </c>
      <c r="O329" s="2" t="s">
        <v>50</v>
      </c>
      <c r="P329" s="2" t="s">
        <v>50</v>
      </c>
      <c r="Q329" s="2" t="s">
        <v>52</v>
      </c>
      <c r="R329" s="2" t="s">
        <v>51</v>
      </c>
      <c r="S329" s="2">
        <v>3</v>
      </c>
      <c r="T329" s="2">
        <v>5</v>
      </c>
    </row>
    <row r="330" spans="1:20" x14ac:dyDescent="0.2">
      <c r="A330" s="2">
        <f t="shared" si="3"/>
        <v>329</v>
      </c>
      <c r="B330" s="2" t="s">
        <v>74</v>
      </c>
      <c r="C330" s="2">
        <v>2</v>
      </c>
      <c r="D330" s="2">
        <v>2</v>
      </c>
      <c r="E330" s="2">
        <v>69</v>
      </c>
      <c r="F330" s="2">
        <v>52</v>
      </c>
      <c r="G330" s="2">
        <v>142.63999999999999</v>
      </c>
      <c r="H330" s="2" t="s">
        <v>88</v>
      </c>
      <c r="I330" s="2" t="s">
        <v>78</v>
      </c>
      <c r="J330" s="2" t="s">
        <v>45</v>
      </c>
      <c r="K330" s="2" t="s">
        <v>74</v>
      </c>
      <c r="L330" s="2">
        <v>2017</v>
      </c>
      <c r="M330" s="2">
        <v>123</v>
      </c>
      <c r="N330" s="2">
        <v>9</v>
      </c>
      <c r="O330" s="2" t="s">
        <v>50</v>
      </c>
      <c r="P330" s="2" t="s">
        <v>50</v>
      </c>
      <c r="Q330" s="2" t="s">
        <v>52</v>
      </c>
      <c r="R330" s="2" t="s">
        <v>50</v>
      </c>
      <c r="S330" s="2">
        <v>3</v>
      </c>
      <c r="T330" s="2">
        <v>10</v>
      </c>
    </row>
    <row r="331" spans="1:20" x14ac:dyDescent="0.2">
      <c r="A331" s="2">
        <f t="shared" si="3"/>
        <v>330</v>
      </c>
      <c r="B331" s="2" t="s">
        <v>74</v>
      </c>
      <c r="C331" s="2">
        <v>1</v>
      </c>
      <c r="D331" s="2">
        <v>3</v>
      </c>
      <c r="E331" s="2">
        <v>68</v>
      </c>
      <c r="F331" s="2">
        <v>28</v>
      </c>
      <c r="G331" s="2">
        <v>180.94</v>
      </c>
      <c r="H331" s="2" t="s">
        <v>92</v>
      </c>
      <c r="I331" s="2" t="s">
        <v>86</v>
      </c>
      <c r="J331" s="2" t="s">
        <v>45</v>
      </c>
      <c r="K331" s="2" t="s">
        <v>74</v>
      </c>
      <c r="L331" s="2">
        <v>2024</v>
      </c>
      <c r="M331" s="2">
        <v>166</v>
      </c>
      <c r="N331" s="2">
        <v>10</v>
      </c>
      <c r="O331" s="2" t="s">
        <v>50</v>
      </c>
      <c r="P331" s="2" t="s">
        <v>51</v>
      </c>
      <c r="Q331" s="2" t="s">
        <v>54</v>
      </c>
      <c r="R331" s="2" t="s">
        <v>50</v>
      </c>
      <c r="S331" s="2">
        <v>11</v>
      </c>
      <c r="T331" s="2">
        <v>2</v>
      </c>
    </row>
    <row r="332" spans="1:20" x14ac:dyDescent="0.2">
      <c r="A332" s="2">
        <f t="shared" si="3"/>
        <v>331</v>
      </c>
      <c r="B332" s="2" t="s">
        <v>74</v>
      </c>
      <c r="C332" s="2">
        <v>2</v>
      </c>
      <c r="D332" s="2">
        <v>8</v>
      </c>
      <c r="E332" s="2">
        <v>86</v>
      </c>
      <c r="F332" s="2">
        <v>52</v>
      </c>
      <c r="G332" s="2">
        <v>157.93</v>
      </c>
      <c r="H332" s="2" t="s">
        <v>83</v>
      </c>
      <c r="I332" s="2" t="s">
        <v>80</v>
      </c>
      <c r="J332" s="2" t="s">
        <v>45</v>
      </c>
      <c r="K332" s="2" t="s">
        <v>74</v>
      </c>
      <c r="L332" s="2">
        <v>2020</v>
      </c>
      <c r="M332" s="2">
        <v>156</v>
      </c>
      <c r="N332" s="2">
        <v>8</v>
      </c>
      <c r="O332" s="2" t="s">
        <v>50</v>
      </c>
      <c r="P332" s="2" t="s">
        <v>50</v>
      </c>
      <c r="Q332" s="2" t="s">
        <v>54</v>
      </c>
      <c r="R332" s="2" t="s">
        <v>51</v>
      </c>
      <c r="S332" s="2">
        <v>11</v>
      </c>
      <c r="T332" s="2">
        <v>7</v>
      </c>
    </row>
    <row r="333" spans="1:20" x14ac:dyDescent="0.2">
      <c r="A333" s="2">
        <f t="shared" si="3"/>
        <v>332</v>
      </c>
      <c r="B333" s="2" t="s">
        <v>74</v>
      </c>
      <c r="C333" s="2">
        <v>2</v>
      </c>
      <c r="D333" s="2">
        <v>11</v>
      </c>
      <c r="E333" s="2">
        <v>55</v>
      </c>
      <c r="F333" s="2">
        <v>8</v>
      </c>
      <c r="G333" s="2">
        <v>105.49</v>
      </c>
      <c r="H333" s="2" t="s">
        <v>88</v>
      </c>
      <c r="I333" s="2" t="s">
        <v>80</v>
      </c>
      <c r="J333" s="2" t="s">
        <v>45</v>
      </c>
      <c r="K333" s="2" t="s">
        <v>74</v>
      </c>
      <c r="L333" s="2">
        <v>2023</v>
      </c>
      <c r="M333" s="2">
        <v>148</v>
      </c>
      <c r="N333" s="2">
        <v>9</v>
      </c>
      <c r="O333" s="2" t="s">
        <v>51</v>
      </c>
      <c r="P333" s="2" t="s">
        <v>51</v>
      </c>
      <c r="Q333" s="2" t="s">
        <v>55</v>
      </c>
      <c r="R333" s="2" t="s">
        <v>51</v>
      </c>
      <c r="S333" s="2">
        <v>2</v>
      </c>
      <c r="T333" s="2">
        <v>3</v>
      </c>
    </row>
    <row r="334" spans="1:20" x14ac:dyDescent="0.2">
      <c r="A334" s="2">
        <f t="shared" si="3"/>
        <v>333</v>
      </c>
      <c r="B334" s="2" t="s">
        <v>74</v>
      </c>
      <c r="C334" s="2">
        <v>1</v>
      </c>
      <c r="D334" s="2">
        <v>10</v>
      </c>
      <c r="E334" s="2">
        <v>36</v>
      </c>
      <c r="F334" s="2">
        <v>38</v>
      </c>
      <c r="G334" s="2">
        <v>166.24</v>
      </c>
      <c r="H334" s="2" t="s">
        <v>83</v>
      </c>
      <c r="I334" s="2" t="s">
        <v>76</v>
      </c>
      <c r="J334" s="2" t="s">
        <v>45</v>
      </c>
      <c r="K334" s="2" t="s">
        <v>74</v>
      </c>
      <c r="L334" s="2">
        <v>2021</v>
      </c>
      <c r="M334" s="2">
        <v>188</v>
      </c>
      <c r="N334" s="2">
        <v>3</v>
      </c>
      <c r="O334" s="2" t="s">
        <v>50</v>
      </c>
      <c r="P334" s="2" t="s">
        <v>50</v>
      </c>
      <c r="Q334" s="2" t="s">
        <v>54</v>
      </c>
      <c r="R334" s="2" t="s">
        <v>50</v>
      </c>
      <c r="S334" s="2">
        <v>6</v>
      </c>
      <c r="T334" s="2">
        <v>3</v>
      </c>
    </row>
    <row r="335" spans="1:20" x14ac:dyDescent="0.2">
      <c r="A335" s="2">
        <f t="shared" si="3"/>
        <v>334</v>
      </c>
      <c r="B335" s="2" t="s">
        <v>74</v>
      </c>
      <c r="C335" s="2">
        <v>2</v>
      </c>
      <c r="D335" s="2">
        <v>3</v>
      </c>
      <c r="E335" s="2">
        <v>83</v>
      </c>
      <c r="F335" s="2">
        <v>42</v>
      </c>
      <c r="G335" s="2">
        <v>182.06</v>
      </c>
      <c r="H335" s="2" t="s">
        <v>79</v>
      </c>
      <c r="I335" s="2" t="s">
        <v>91</v>
      </c>
      <c r="J335" s="2" t="s">
        <v>45</v>
      </c>
      <c r="K335" s="2" t="s">
        <v>74</v>
      </c>
      <c r="L335" s="2">
        <v>2018</v>
      </c>
      <c r="M335" s="2">
        <v>184</v>
      </c>
      <c r="N335" s="2">
        <v>9</v>
      </c>
      <c r="O335" s="2" t="s">
        <v>51</v>
      </c>
      <c r="P335" s="2" t="s">
        <v>50</v>
      </c>
      <c r="Q335" s="2" t="s">
        <v>54</v>
      </c>
      <c r="R335" s="2" t="s">
        <v>50</v>
      </c>
      <c r="S335" s="2">
        <v>0</v>
      </c>
      <c r="T335" s="2">
        <v>4</v>
      </c>
    </row>
    <row r="336" spans="1:20" x14ac:dyDescent="0.2">
      <c r="A336" s="2">
        <f t="shared" si="3"/>
        <v>335</v>
      </c>
      <c r="B336" s="2" t="s">
        <v>74</v>
      </c>
      <c r="C336" s="2">
        <v>1</v>
      </c>
      <c r="D336" s="2">
        <v>8</v>
      </c>
      <c r="E336" s="2">
        <v>55</v>
      </c>
      <c r="F336" s="2">
        <v>16</v>
      </c>
      <c r="G336" s="2">
        <v>228.43</v>
      </c>
      <c r="H336" s="2" t="s">
        <v>75</v>
      </c>
      <c r="I336" s="2" t="s">
        <v>76</v>
      </c>
      <c r="J336" s="2" t="s">
        <v>45</v>
      </c>
      <c r="K336" s="2" t="s">
        <v>74</v>
      </c>
      <c r="L336" s="2">
        <v>2016</v>
      </c>
      <c r="M336" s="2">
        <v>140</v>
      </c>
      <c r="N336" s="2">
        <v>0</v>
      </c>
      <c r="O336" s="2" t="s">
        <v>50</v>
      </c>
      <c r="P336" s="2" t="s">
        <v>50</v>
      </c>
      <c r="Q336" s="2" t="s">
        <v>54</v>
      </c>
      <c r="R336" s="2" t="s">
        <v>50</v>
      </c>
      <c r="S336" s="2">
        <v>7</v>
      </c>
      <c r="T336" s="2">
        <v>9</v>
      </c>
    </row>
    <row r="337" spans="1:20" x14ac:dyDescent="0.2">
      <c r="A337" s="2">
        <f t="shared" si="3"/>
        <v>336</v>
      </c>
      <c r="B337" s="2" t="s">
        <v>74</v>
      </c>
      <c r="C337" s="2">
        <v>2</v>
      </c>
      <c r="D337" s="2">
        <v>11</v>
      </c>
      <c r="E337" s="2">
        <v>1</v>
      </c>
      <c r="F337" s="2">
        <v>24</v>
      </c>
      <c r="G337" s="2">
        <v>103.74</v>
      </c>
      <c r="H337" s="2" t="s">
        <v>81</v>
      </c>
      <c r="I337" s="2" t="s">
        <v>84</v>
      </c>
      <c r="J337" s="2" t="s">
        <v>45</v>
      </c>
      <c r="K337" s="2" t="s">
        <v>74</v>
      </c>
      <c r="L337" s="2">
        <v>2016</v>
      </c>
      <c r="M337" s="2">
        <v>158</v>
      </c>
      <c r="N337" s="2">
        <v>4</v>
      </c>
      <c r="O337" s="2" t="s">
        <v>51</v>
      </c>
      <c r="P337" s="2" t="s">
        <v>50</v>
      </c>
      <c r="Q337" s="2" t="s">
        <v>52</v>
      </c>
      <c r="R337" s="2" t="s">
        <v>51</v>
      </c>
      <c r="S337" s="2">
        <v>0</v>
      </c>
      <c r="T337" s="2">
        <v>7</v>
      </c>
    </row>
    <row r="338" spans="1:20" x14ac:dyDescent="0.2">
      <c r="A338" s="2">
        <f t="shared" si="3"/>
        <v>337</v>
      </c>
      <c r="B338" s="2" t="s">
        <v>74</v>
      </c>
      <c r="C338" s="2">
        <v>2</v>
      </c>
      <c r="D338" s="2">
        <v>9</v>
      </c>
      <c r="E338" s="2">
        <v>34</v>
      </c>
      <c r="F338" s="2">
        <v>31</v>
      </c>
      <c r="G338" s="2">
        <v>62.4</v>
      </c>
      <c r="H338" s="2" t="s">
        <v>87</v>
      </c>
      <c r="I338" s="2" t="s">
        <v>91</v>
      </c>
      <c r="J338" s="2" t="s">
        <v>45</v>
      </c>
      <c r="K338" s="2" t="s">
        <v>74</v>
      </c>
      <c r="L338" s="2">
        <v>2017</v>
      </c>
      <c r="M338" s="2">
        <v>172</v>
      </c>
      <c r="N338" s="2">
        <v>2</v>
      </c>
      <c r="O338" s="2" t="s">
        <v>51</v>
      </c>
      <c r="P338" s="2" t="s">
        <v>51</v>
      </c>
      <c r="Q338" s="2" t="s">
        <v>52</v>
      </c>
      <c r="R338" s="2" t="s">
        <v>50</v>
      </c>
      <c r="S338" s="2">
        <v>6</v>
      </c>
      <c r="T338" s="2">
        <v>1</v>
      </c>
    </row>
    <row r="339" spans="1:20" x14ac:dyDescent="0.2">
      <c r="A339" s="2">
        <f t="shared" si="3"/>
        <v>338</v>
      </c>
      <c r="B339" s="2" t="s">
        <v>74</v>
      </c>
      <c r="C339" s="2">
        <v>1</v>
      </c>
      <c r="D339" s="2">
        <v>1</v>
      </c>
      <c r="E339" s="2">
        <v>40</v>
      </c>
      <c r="F339" s="2">
        <v>54</v>
      </c>
      <c r="G339" s="2">
        <v>174.02</v>
      </c>
      <c r="H339" s="2" t="s">
        <v>81</v>
      </c>
      <c r="I339" s="2" t="s">
        <v>86</v>
      </c>
      <c r="J339" s="2" t="s">
        <v>45</v>
      </c>
      <c r="K339" s="2" t="s">
        <v>74</v>
      </c>
      <c r="L339" s="2">
        <v>2016</v>
      </c>
      <c r="M339" s="2">
        <v>157</v>
      </c>
      <c r="N339" s="2">
        <v>6</v>
      </c>
      <c r="O339" s="2" t="s">
        <v>50</v>
      </c>
      <c r="P339" s="2" t="s">
        <v>50</v>
      </c>
      <c r="Q339" s="2" t="s">
        <v>54</v>
      </c>
      <c r="R339" s="2" t="s">
        <v>50</v>
      </c>
      <c r="S339" s="2">
        <v>0</v>
      </c>
      <c r="T339" s="2">
        <v>6</v>
      </c>
    </row>
    <row r="340" spans="1:20" x14ac:dyDescent="0.2">
      <c r="A340" s="2">
        <f t="shared" si="3"/>
        <v>339</v>
      </c>
      <c r="B340" s="2" t="s">
        <v>74</v>
      </c>
      <c r="C340" s="2">
        <v>1</v>
      </c>
      <c r="D340" s="2">
        <v>3</v>
      </c>
      <c r="E340" s="2">
        <v>41</v>
      </c>
      <c r="F340" s="2">
        <v>59</v>
      </c>
      <c r="G340" s="2">
        <v>173.41</v>
      </c>
      <c r="H340" s="2" t="s">
        <v>88</v>
      </c>
      <c r="I340" s="2" t="s">
        <v>78</v>
      </c>
      <c r="J340" s="2" t="s">
        <v>45</v>
      </c>
      <c r="K340" s="2" t="s">
        <v>74</v>
      </c>
      <c r="L340" s="2">
        <v>2019</v>
      </c>
      <c r="M340" s="2">
        <v>154</v>
      </c>
      <c r="N340" s="2">
        <v>9</v>
      </c>
      <c r="O340" s="2" t="s">
        <v>50</v>
      </c>
      <c r="P340" s="2" t="s">
        <v>51</v>
      </c>
      <c r="Q340" s="2" t="s">
        <v>52</v>
      </c>
      <c r="R340" s="2" t="s">
        <v>51</v>
      </c>
      <c r="S340" s="2">
        <v>4</v>
      </c>
      <c r="T340" s="2">
        <v>0</v>
      </c>
    </row>
    <row r="341" spans="1:20" x14ac:dyDescent="0.2">
      <c r="A341" s="2">
        <f t="shared" si="3"/>
        <v>340</v>
      </c>
      <c r="B341" s="2" t="s">
        <v>74</v>
      </c>
      <c r="C341" s="2">
        <v>2</v>
      </c>
      <c r="D341" s="2">
        <v>7</v>
      </c>
      <c r="E341" s="2">
        <v>11</v>
      </c>
      <c r="F341" s="2">
        <v>19</v>
      </c>
      <c r="G341" s="2">
        <v>177.93</v>
      </c>
      <c r="H341" s="2" t="s">
        <v>81</v>
      </c>
      <c r="I341" s="2" t="s">
        <v>89</v>
      </c>
      <c r="J341" s="2" t="s">
        <v>45</v>
      </c>
      <c r="K341" s="2" t="s">
        <v>74</v>
      </c>
      <c r="L341" s="2">
        <v>2020</v>
      </c>
      <c r="M341" s="2">
        <v>183</v>
      </c>
      <c r="N341" s="2">
        <v>3</v>
      </c>
      <c r="O341" s="2" t="s">
        <v>51</v>
      </c>
      <c r="P341" s="2" t="s">
        <v>51</v>
      </c>
      <c r="Q341" s="2" t="s">
        <v>54</v>
      </c>
      <c r="R341" s="2" t="s">
        <v>51</v>
      </c>
      <c r="S341" s="2">
        <v>1</v>
      </c>
      <c r="T341" s="2">
        <v>9</v>
      </c>
    </row>
    <row r="342" spans="1:20" x14ac:dyDescent="0.2">
      <c r="A342" s="2">
        <f t="shared" si="3"/>
        <v>341</v>
      </c>
      <c r="B342" s="2" t="s">
        <v>74</v>
      </c>
      <c r="C342" s="2">
        <v>2</v>
      </c>
      <c r="D342" s="2">
        <v>8</v>
      </c>
      <c r="E342" s="2">
        <v>34</v>
      </c>
      <c r="F342" s="2">
        <v>10</v>
      </c>
      <c r="G342" s="2">
        <v>133.94999999999999</v>
      </c>
      <c r="H342" s="2" t="s">
        <v>85</v>
      </c>
      <c r="I342" s="2" t="s">
        <v>93</v>
      </c>
      <c r="J342" s="2" t="s">
        <v>45</v>
      </c>
      <c r="K342" s="2" t="s">
        <v>74</v>
      </c>
      <c r="L342" s="2">
        <v>2023</v>
      </c>
      <c r="M342" s="2">
        <v>133</v>
      </c>
      <c r="N342" s="2">
        <v>7</v>
      </c>
      <c r="O342" s="2" t="s">
        <v>50</v>
      </c>
      <c r="P342" s="2" t="s">
        <v>51</v>
      </c>
      <c r="Q342" s="2" t="s">
        <v>55</v>
      </c>
      <c r="R342" s="2" t="s">
        <v>50</v>
      </c>
      <c r="S342" s="2">
        <v>6</v>
      </c>
      <c r="T342" s="2">
        <v>1</v>
      </c>
    </row>
    <row r="343" spans="1:20" x14ac:dyDescent="0.2">
      <c r="A343" s="2">
        <f t="shared" si="3"/>
        <v>342</v>
      </c>
      <c r="B343" s="2" t="s">
        <v>74</v>
      </c>
      <c r="C343" s="2">
        <v>2</v>
      </c>
      <c r="D343" s="2">
        <v>5</v>
      </c>
      <c r="E343" s="2">
        <v>59</v>
      </c>
      <c r="F343" s="2">
        <v>58</v>
      </c>
      <c r="G343" s="2">
        <v>118.54</v>
      </c>
      <c r="H343" s="2" t="s">
        <v>87</v>
      </c>
      <c r="I343" s="2" t="s">
        <v>86</v>
      </c>
      <c r="J343" s="2" t="s">
        <v>45</v>
      </c>
      <c r="K343" s="2" t="s">
        <v>74</v>
      </c>
      <c r="L343" s="2">
        <v>2018</v>
      </c>
      <c r="M343" s="2">
        <v>211</v>
      </c>
      <c r="N343" s="2">
        <v>10</v>
      </c>
      <c r="O343" s="2" t="s">
        <v>50</v>
      </c>
      <c r="P343" s="2" t="s">
        <v>50</v>
      </c>
      <c r="Q343" s="2" t="s">
        <v>54</v>
      </c>
      <c r="R343" s="2" t="s">
        <v>50</v>
      </c>
      <c r="S343" s="2">
        <v>12</v>
      </c>
      <c r="T343" s="2">
        <v>2</v>
      </c>
    </row>
    <row r="344" spans="1:20" x14ac:dyDescent="0.2">
      <c r="A344" s="2">
        <f t="shared" si="3"/>
        <v>343</v>
      </c>
      <c r="B344" s="2" t="s">
        <v>74</v>
      </c>
      <c r="C344" s="2">
        <v>2</v>
      </c>
      <c r="D344" s="2">
        <v>2</v>
      </c>
      <c r="E344" s="2">
        <v>2</v>
      </c>
      <c r="F344" s="2">
        <v>26</v>
      </c>
      <c r="G344" s="2">
        <v>226.32</v>
      </c>
      <c r="H344" s="2" t="s">
        <v>85</v>
      </c>
      <c r="I344" s="2" t="s">
        <v>90</v>
      </c>
      <c r="J344" s="2" t="s">
        <v>45</v>
      </c>
      <c r="K344" s="2" t="s">
        <v>74</v>
      </c>
      <c r="L344" s="2">
        <v>2016</v>
      </c>
      <c r="M344" s="2">
        <v>135</v>
      </c>
      <c r="N344" s="2">
        <v>3</v>
      </c>
      <c r="O344" s="2" t="s">
        <v>51</v>
      </c>
      <c r="P344" s="2" t="s">
        <v>50</v>
      </c>
      <c r="Q344" s="2" t="s">
        <v>54</v>
      </c>
      <c r="R344" s="2" t="s">
        <v>51</v>
      </c>
      <c r="S344" s="2">
        <v>5</v>
      </c>
      <c r="T344" s="2">
        <v>6</v>
      </c>
    </row>
    <row r="345" spans="1:20" x14ac:dyDescent="0.2">
      <c r="A345" s="2">
        <f t="shared" si="3"/>
        <v>344</v>
      </c>
      <c r="B345" s="2" t="s">
        <v>74</v>
      </c>
      <c r="C345" s="2">
        <v>2</v>
      </c>
      <c r="D345" s="2">
        <v>10</v>
      </c>
      <c r="E345" s="2">
        <v>72</v>
      </c>
      <c r="F345" s="2">
        <v>59</v>
      </c>
      <c r="G345" s="2">
        <v>195.12</v>
      </c>
      <c r="H345" s="2" t="s">
        <v>77</v>
      </c>
      <c r="I345" s="2" t="s">
        <v>76</v>
      </c>
      <c r="J345" s="2" t="s">
        <v>45</v>
      </c>
      <c r="K345" s="2" t="s">
        <v>74</v>
      </c>
      <c r="L345" s="2">
        <v>2016</v>
      </c>
      <c r="M345" s="2">
        <v>156</v>
      </c>
      <c r="N345" s="2">
        <v>2</v>
      </c>
      <c r="O345" s="2" t="s">
        <v>51</v>
      </c>
      <c r="P345" s="2" t="s">
        <v>51</v>
      </c>
      <c r="Q345" s="2" t="s">
        <v>52</v>
      </c>
      <c r="R345" s="2" t="s">
        <v>51</v>
      </c>
      <c r="S345" s="2">
        <v>8</v>
      </c>
      <c r="T345" s="2">
        <v>5</v>
      </c>
    </row>
    <row r="346" spans="1:20" x14ac:dyDescent="0.2">
      <c r="A346" s="2">
        <f t="shared" si="3"/>
        <v>345</v>
      </c>
      <c r="B346" s="2" t="s">
        <v>74</v>
      </c>
      <c r="C346" s="2">
        <v>2</v>
      </c>
      <c r="D346" s="2">
        <v>1</v>
      </c>
      <c r="E346" s="2">
        <v>32</v>
      </c>
      <c r="F346" s="2">
        <v>25</v>
      </c>
      <c r="G346" s="2">
        <v>153.6</v>
      </c>
      <c r="H346" s="2" t="s">
        <v>92</v>
      </c>
      <c r="I346" s="2" t="s">
        <v>89</v>
      </c>
      <c r="J346" s="2" t="s">
        <v>45</v>
      </c>
      <c r="K346" s="2" t="s">
        <v>74</v>
      </c>
      <c r="L346" s="2">
        <v>2021</v>
      </c>
      <c r="M346" s="2">
        <v>213</v>
      </c>
      <c r="N346" s="2">
        <v>5</v>
      </c>
      <c r="O346" s="2" t="s">
        <v>50</v>
      </c>
      <c r="P346" s="2" t="s">
        <v>51</v>
      </c>
      <c r="Q346" s="2" t="s">
        <v>55</v>
      </c>
      <c r="R346" s="2" t="s">
        <v>51</v>
      </c>
      <c r="S346" s="2">
        <v>11</v>
      </c>
      <c r="T346" s="2">
        <v>10</v>
      </c>
    </row>
    <row r="347" spans="1:20" x14ac:dyDescent="0.2">
      <c r="A347" s="2">
        <f t="shared" si="3"/>
        <v>346</v>
      </c>
      <c r="B347" s="2" t="s">
        <v>74</v>
      </c>
      <c r="C347" s="2">
        <v>1</v>
      </c>
      <c r="D347" s="2">
        <v>5</v>
      </c>
      <c r="E347" s="2">
        <v>19</v>
      </c>
      <c r="F347" s="2">
        <v>43</v>
      </c>
      <c r="G347" s="2">
        <v>217.1</v>
      </c>
      <c r="H347" s="2" t="s">
        <v>81</v>
      </c>
      <c r="I347" s="2" t="s">
        <v>84</v>
      </c>
      <c r="J347" s="2" t="s">
        <v>45</v>
      </c>
      <c r="K347" s="2" t="s">
        <v>74</v>
      </c>
      <c r="L347" s="2">
        <v>2016</v>
      </c>
      <c r="M347" s="2">
        <v>232</v>
      </c>
      <c r="N347" s="2">
        <v>10</v>
      </c>
      <c r="O347" s="2" t="s">
        <v>50</v>
      </c>
      <c r="P347" s="2" t="s">
        <v>51</v>
      </c>
      <c r="Q347" s="2" t="s">
        <v>52</v>
      </c>
      <c r="R347" s="2" t="s">
        <v>50</v>
      </c>
      <c r="S347" s="2">
        <v>8</v>
      </c>
      <c r="T347" s="2">
        <v>7</v>
      </c>
    </row>
    <row r="348" spans="1:20" x14ac:dyDescent="0.2">
      <c r="A348" s="2">
        <f t="shared" si="3"/>
        <v>347</v>
      </c>
      <c r="B348" s="2" t="s">
        <v>74</v>
      </c>
      <c r="C348" s="2">
        <v>2</v>
      </c>
      <c r="D348" s="2">
        <v>3</v>
      </c>
      <c r="E348" s="2">
        <v>81</v>
      </c>
      <c r="F348" s="2">
        <v>45</v>
      </c>
      <c r="G348" s="2">
        <v>92.08</v>
      </c>
      <c r="H348" s="2" t="s">
        <v>77</v>
      </c>
      <c r="I348" s="2" t="s">
        <v>91</v>
      </c>
      <c r="J348" s="2" t="s">
        <v>45</v>
      </c>
      <c r="K348" s="2" t="s">
        <v>74</v>
      </c>
      <c r="L348" s="2">
        <v>2024</v>
      </c>
      <c r="M348" s="2">
        <v>168</v>
      </c>
      <c r="N348" s="2">
        <v>5</v>
      </c>
      <c r="O348" s="2" t="s">
        <v>51</v>
      </c>
      <c r="P348" s="2" t="s">
        <v>50</v>
      </c>
      <c r="Q348" s="2" t="s">
        <v>52</v>
      </c>
      <c r="R348" s="2" t="s">
        <v>51</v>
      </c>
      <c r="S348" s="2">
        <v>9</v>
      </c>
      <c r="T348" s="2">
        <v>3</v>
      </c>
    </row>
    <row r="349" spans="1:20" x14ac:dyDescent="0.2">
      <c r="A349" s="2">
        <f t="shared" si="3"/>
        <v>348</v>
      </c>
      <c r="B349" s="2" t="s">
        <v>74</v>
      </c>
      <c r="C349" s="2">
        <v>2</v>
      </c>
      <c r="D349" s="2">
        <v>1</v>
      </c>
      <c r="E349" s="2">
        <v>70</v>
      </c>
      <c r="F349" s="2">
        <v>43</v>
      </c>
      <c r="G349" s="2">
        <v>68.900000000000006</v>
      </c>
      <c r="H349" s="2" t="s">
        <v>81</v>
      </c>
      <c r="I349" s="2" t="s">
        <v>78</v>
      </c>
      <c r="J349" s="2" t="s">
        <v>45</v>
      </c>
      <c r="K349" s="2" t="s">
        <v>74</v>
      </c>
      <c r="L349" s="2">
        <v>2024</v>
      </c>
      <c r="M349" s="2">
        <v>238</v>
      </c>
      <c r="N349" s="2">
        <v>2</v>
      </c>
      <c r="O349" s="2" t="s">
        <v>51</v>
      </c>
      <c r="P349" s="2" t="s">
        <v>51</v>
      </c>
      <c r="Q349" s="2" t="s">
        <v>52</v>
      </c>
      <c r="R349" s="2" t="s">
        <v>51</v>
      </c>
      <c r="S349" s="2">
        <v>6</v>
      </c>
      <c r="T349" s="2">
        <v>2</v>
      </c>
    </row>
    <row r="350" spans="1:20" x14ac:dyDescent="0.2">
      <c r="A350" s="2">
        <f t="shared" si="3"/>
        <v>349</v>
      </c>
      <c r="B350" s="2" t="s">
        <v>74</v>
      </c>
      <c r="C350" s="2">
        <v>1</v>
      </c>
      <c r="D350" s="2">
        <v>4</v>
      </c>
      <c r="E350" s="2">
        <v>22</v>
      </c>
      <c r="F350" s="2">
        <v>3</v>
      </c>
      <c r="G350" s="2">
        <v>122.8</v>
      </c>
      <c r="H350" s="2" t="s">
        <v>82</v>
      </c>
      <c r="I350" s="2" t="s">
        <v>91</v>
      </c>
      <c r="J350" s="2" t="s">
        <v>45</v>
      </c>
      <c r="K350" s="2" t="s">
        <v>74</v>
      </c>
      <c r="L350" s="2">
        <v>2017</v>
      </c>
      <c r="M350" s="2">
        <v>174</v>
      </c>
      <c r="N350" s="2">
        <v>9</v>
      </c>
      <c r="O350" s="2" t="s">
        <v>50</v>
      </c>
      <c r="P350" s="2" t="s">
        <v>51</v>
      </c>
      <c r="Q350" s="2" t="s">
        <v>52</v>
      </c>
      <c r="R350" s="2" t="s">
        <v>50</v>
      </c>
      <c r="S350" s="2">
        <v>6</v>
      </c>
      <c r="T350" s="2">
        <v>9</v>
      </c>
    </row>
    <row r="351" spans="1:20" x14ac:dyDescent="0.2">
      <c r="A351" s="2">
        <f t="shared" si="3"/>
        <v>350</v>
      </c>
      <c r="B351" s="2" t="s">
        <v>74</v>
      </c>
      <c r="C351" s="2">
        <v>1</v>
      </c>
      <c r="D351" s="2">
        <v>7</v>
      </c>
      <c r="E351" s="2">
        <v>23</v>
      </c>
      <c r="F351" s="2">
        <v>57</v>
      </c>
      <c r="G351" s="2">
        <v>139.33000000000001</v>
      </c>
      <c r="H351" s="2" t="s">
        <v>79</v>
      </c>
      <c r="I351" s="2" t="s">
        <v>90</v>
      </c>
      <c r="J351" s="2" t="s">
        <v>45</v>
      </c>
      <c r="K351" s="2" t="s">
        <v>74</v>
      </c>
      <c r="L351" s="2">
        <v>2015</v>
      </c>
      <c r="M351" s="2">
        <v>233</v>
      </c>
      <c r="N351" s="2">
        <v>5</v>
      </c>
      <c r="O351" s="2" t="s">
        <v>50</v>
      </c>
      <c r="P351" s="2" t="s">
        <v>51</v>
      </c>
      <c r="Q351" s="2" t="s">
        <v>55</v>
      </c>
      <c r="R351" s="2" t="s">
        <v>50</v>
      </c>
      <c r="S351" s="2">
        <v>8</v>
      </c>
      <c r="T351" s="2">
        <v>0</v>
      </c>
    </row>
    <row r="352" spans="1:20" x14ac:dyDescent="0.2">
      <c r="A352" s="2">
        <f t="shared" si="3"/>
        <v>351</v>
      </c>
      <c r="B352" s="2" t="s">
        <v>74</v>
      </c>
      <c r="C352" s="2">
        <v>1</v>
      </c>
      <c r="D352" s="2">
        <v>9</v>
      </c>
      <c r="E352" s="2">
        <v>7</v>
      </c>
      <c r="F352" s="2">
        <v>44</v>
      </c>
      <c r="G352" s="2">
        <v>107.63</v>
      </c>
      <c r="H352" s="2" t="s">
        <v>87</v>
      </c>
      <c r="I352" s="2" t="s">
        <v>86</v>
      </c>
      <c r="J352" s="2" t="s">
        <v>45</v>
      </c>
      <c r="K352" s="2" t="s">
        <v>74</v>
      </c>
      <c r="L352" s="2">
        <v>2021</v>
      </c>
      <c r="M352" s="2">
        <v>195</v>
      </c>
      <c r="N352" s="2">
        <v>9</v>
      </c>
      <c r="O352" s="2" t="s">
        <v>51</v>
      </c>
      <c r="P352" s="2" t="s">
        <v>51</v>
      </c>
      <c r="Q352" s="2" t="s">
        <v>52</v>
      </c>
      <c r="R352" s="2" t="s">
        <v>51</v>
      </c>
      <c r="S352" s="2">
        <v>1</v>
      </c>
      <c r="T352" s="2">
        <v>10</v>
      </c>
    </row>
    <row r="353" spans="1:20" x14ac:dyDescent="0.2">
      <c r="A353" s="2">
        <f t="shared" ref="A353:A357" si="4">A352+1</f>
        <v>352</v>
      </c>
      <c r="B353" s="2" t="s">
        <v>74</v>
      </c>
      <c r="C353" s="2">
        <v>1</v>
      </c>
      <c r="D353" s="2">
        <v>3</v>
      </c>
      <c r="E353" s="2">
        <v>15</v>
      </c>
      <c r="F353" s="2">
        <v>28</v>
      </c>
      <c r="G353" s="2">
        <v>73.03</v>
      </c>
      <c r="H353" s="2" t="s">
        <v>82</v>
      </c>
      <c r="I353" s="2" t="s">
        <v>78</v>
      </c>
      <c r="J353" s="2" t="s">
        <v>45</v>
      </c>
      <c r="K353" s="2" t="s">
        <v>74</v>
      </c>
      <c r="L353" s="2">
        <v>2017</v>
      </c>
      <c r="M353" s="2">
        <v>232</v>
      </c>
      <c r="N353" s="2">
        <v>9</v>
      </c>
      <c r="O353" s="2" t="s">
        <v>50</v>
      </c>
      <c r="P353" s="2" t="s">
        <v>51</v>
      </c>
      <c r="Q353" s="2" t="s">
        <v>52</v>
      </c>
      <c r="R353" s="2" t="s">
        <v>50</v>
      </c>
      <c r="S353" s="2">
        <v>0</v>
      </c>
      <c r="T353" s="2">
        <v>4</v>
      </c>
    </row>
    <row r="354" spans="1:20" x14ac:dyDescent="0.2">
      <c r="A354" s="2">
        <f t="shared" si="4"/>
        <v>353</v>
      </c>
      <c r="B354" s="2" t="s">
        <v>74</v>
      </c>
      <c r="C354" s="2">
        <v>1</v>
      </c>
      <c r="D354" s="2">
        <v>3</v>
      </c>
      <c r="E354" s="2">
        <v>18</v>
      </c>
      <c r="F354" s="2">
        <v>19</v>
      </c>
      <c r="G354" s="2">
        <v>82.85</v>
      </c>
      <c r="H354" s="2" t="s">
        <v>85</v>
      </c>
      <c r="I354" s="2" t="s">
        <v>76</v>
      </c>
      <c r="J354" s="2" t="s">
        <v>45</v>
      </c>
      <c r="K354" s="2" t="s">
        <v>74</v>
      </c>
      <c r="L354" s="2">
        <v>2017</v>
      </c>
      <c r="M354" s="2">
        <v>237</v>
      </c>
      <c r="N354" s="2">
        <v>3</v>
      </c>
      <c r="O354" s="2" t="s">
        <v>51</v>
      </c>
      <c r="P354" s="2" t="s">
        <v>50</v>
      </c>
      <c r="Q354" s="2" t="s">
        <v>52</v>
      </c>
      <c r="R354" s="2" t="s">
        <v>51</v>
      </c>
      <c r="S354" s="2">
        <v>7</v>
      </c>
      <c r="T354" s="2">
        <v>0</v>
      </c>
    </row>
    <row r="355" spans="1:20" x14ac:dyDescent="0.2">
      <c r="A355" s="2">
        <f t="shared" si="4"/>
        <v>354</v>
      </c>
      <c r="B355" s="2" t="s">
        <v>74</v>
      </c>
      <c r="C355" s="2">
        <v>2</v>
      </c>
      <c r="D355" s="2">
        <v>3</v>
      </c>
      <c r="E355" s="2">
        <v>28</v>
      </c>
      <c r="F355" s="2">
        <v>15</v>
      </c>
      <c r="G355" s="2">
        <v>177.61</v>
      </c>
      <c r="H355" s="2" t="s">
        <v>75</v>
      </c>
      <c r="I355" s="2" t="s">
        <v>80</v>
      </c>
      <c r="J355" s="2" t="s">
        <v>45</v>
      </c>
      <c r="K355" s="2" t="s">
        <v>74</v>
      </c>
      <c r="L355" s="2">
        <v>2015</v>
      </c>
      <c r="M355" s="2">
        <v>226</v>
      </c>
      <c r="N355" s="2">
        <v>2</v>
      </c>
      <c r="O355" s="2" t="s">
        <v>50</v>
      </c>
      <c r="P355" s="2" t="s">
        <v>50</v>
      </c>
      <c r="Q355" s="2" t="s">
        <v>55</v>
      </c>
      <c r="R355" s="2" t="s">
        <v>50</v>
      </c>
      <c r="S355" s="2">
        <v>3</v>
      </c>
      <c r="T355" s="2">
        <v>4</v>
      </c>
    </row>
    <row r="356" spans="1:20" x14ac:dyDescent="0.2">
      <c r="A356" s="2">
        <f t="shared" si="4"/>
        <v>355</v>
      </c>
      <c r="B356" s="2" t="s">
        <v>74</v>
      </c>
      <c r="C356" s="2">
        <v>2</v>
      </c>
      <c r="D356" s="2">
        <v>5</v>
      </c>
      <c r="E356" s="2">
        <v>78</v>
      </c>
      <c r="F356" s="2">
        <v>45</v>
      </c>
      <c r="G356" s="2">
        <v>109.45</v>
      </c>
      <c r="H356" s="2" t="s">
        <v>83</v>
      </c>
      <c r="I356" s="2" t="s">
        <v>93</v>
      </c>
      <c r="J356" s="2" t="s">
        <v>45</v>
      </c>
      <c r="K356" s="2" t="s">
        <v>74</v>
      </c>
      <c r="L356" s="2">
        <v>2024</v>
      </c>
      <c r="M356" s="2">
        <v>158</v>
      </c>
      <c r="N356" s="2">
        <v>5</v>
      </c>
      <c r="O356" s="2" t="s">
        <v>50</v>
      </c>
      <c r="P356" s="2" t="s">
        <v>51</v>
      </c>
      <c r="Q356" s="2" t="s">
        <v>52</v>
      </c>
      <c r="R356" s="2" t="s">
        <v>51</v>
      </c>
      <c r="S356" s="2">
        <v>11</v>
      </c>
      <c r="T356" s="2">
        <v>7</v>
      </c>
    </row>
    <row r="357" spans="1:20" x14ac:dyDescent="0.2">
      <c r="A357" s="2">
        <f t="shared" si="4"/>
        <v>356</v>
      </c>
      <c r="B357" s="2" t="s">
        <v>74</v>
      </c>
      <c r="C357" s="2">
        <v>2</v>
      </c>
      <c r="D357" s="2">
        <v>3</v>
      </c>
      <c r="E357" s="2">
        <v>26</v>
      </c>
      <c r="F357" s="2">
        <v>2</v>
      </c>
      <c r="G357" s="2">
        <v>201.88</v>
      </c>
      <c r="H357" s="2" t="s">
        <v>83</v>
      </c>
      <c r="I357" s="2" t="s">
        <v>90</v>
      </c>
      <c r="J357" s="2" t="s">
        <v>45</v>
      </c>
      <c r="K357" s="2" t="s">
        <v>74</v>
      </c>
      <c r="L357" s="2">
        <v>2020</v>
      </c>
      <c r="M357" s="2">
        <v>132</v>
      </c>
      <c r="N357" s="2">
        <v>1</v>
      </c>
      <c r="O357" s="2" t="s">
        <v>50</v>
      </c>
      <c r="P357" s="2" t="s">
        <v>51</v>
      </c>
      <c r="Q357" s="2" t="s">
        <v>52</v>
      </c>
      <c r="R357" s="2" t="s">
        <v>51</v>
      </c>
      <c r="S357" s="2">
        <v>6</v>
      </c>
      <c r="T35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C2CC-4446-40FE-BB3F-2320D525D5DC}">
  <dimension ref="A1:F2"/>
  <sheetViews>
    <sheetView workbookViewId="0">
      <selection activeCell="A4" sqref="A4"/>
    </sheetView>
  </sheetViews>
  <sheetFormatPr defaultRowHeight="15" x14ac:dyDescent="0.2"/>
  <cols>
    <col min="1" max="1" width="32.95703125" customWidth="1"/>
    <col min="2" max="2" width="30.40234375" customWidth="1"/>
    <col min="3" max="3" width="26.6328125" customWidth="1"/>
    <col min="4" max="4" width="23.5390625" customWidth="1"/>
    <col min="5" max="5" width="20.984375" customWidth="1"/>
    <col min="6" max="6" width="25.2890625" customWidth="1"/>
  </cols>
  <sheetData>
    <row r="1" spans="1:6" x14ac:dyDescent="0.2">
      <c r="A1" t="s">
        <v>100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2">
      <c r="A2" s="3" t="s">
        <v>99</v>
      </c>
      <c r="B2" s="3" t="s">
        <v>101</v>
      </c>
      <c r="C2" s="3" t="s">
        <v>102</v>
      </c>
      <c r="D2" s="4" t="s">
        <v>104</v>
      </c>
      <c r="E2" s="3" t="s">
        <v>103</v>
      </c>
      <c r="F2" s="3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Hardik_Stats</vt:lpstr>
      <vt:lpstr>Hardik_info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KIRUBASANKAR K.R</cp:lastModifiedBy>
  <dcterms:created xsi:type="dcterms:W3CDTF">2025-09-24T16:54:42Z</dcterms:created>
  <dcterms:modified xsi:type="dcterms:W3CDTF">2025-09-25T15:35:01Z</dcterms:modified>
</cp:coreProperties>
</file>